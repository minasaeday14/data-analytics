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953940B1-673F-4ECA-9D7A-D4E05DAE51C7}" xr6:coauthVersionLast="47" xr6:coauthVersionMax="47" xr10:uidLastSave="{00000000-0000-0000-0000-000000000000}"/>
  <bookViews>
    <workbookView xWindow="0" yWindow="0" windowWidth="28800" windowHeight="13905" activeTab="1" xr2:uid="{00000000-000D-0000-FFFF-FFFF00000000}"/>
  </bookViews>
  <sheets>
    <sheet name="Sheet1" sheetId="1" r:id="rId1"/>
    <sheet name="Sheet2" sheetId="2" r:id="rId2"/>
  </sheets>
  <calcPr calcId="191028"/>
  <pivotCaches>
    <pivotCache cacheId="7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L25" i="1"/>
  <c r="L24" i="1"/>
  <c r="H24" i="1"/>
  <c r="D2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</calcChain>
</file>

<file path=xl/sharedStrings.xml><?xml version="1.0" encoding="utf-8"?>
<sst xmlns="http://schemas.openxmlformats.org/spreadsheetml/2006/main" count="155" uniqueCount="77">
  <si>
    <t>Id</t>
  </si>
  <si>
    <t>Start time</t>
  </si>
  <si>
    <t>Completion time</t>
  </si>
  <si>
    <t>Time to Complete</t>
  </si>
  <si>
    <t>Email</t>
  </si>
  <si>
    <t>Name</t>
  </si>
  <si>
    <t>How often do you visit our cusine.</t>
  </si>
  <si>
    <t>How satisfied were you with your most recent visit</t>
  </si>
  <si>
    <t>How would you rate the quality of the food</t>
  </si>
  <si>
    <t>How would you rate the customer service?</t>
  </si>
  <si>
    <t>Which Yemandi menu items do you order most often</t>
  </si>
  <si>
    <t>Would you be interested in joining a yemandi rewards system</t>
  </si>
  <si>
    <t>Which rewards would be most appealing to you</t>
  </si>
  <si>
    <t>Is there anything else you would like us to improve or add?</t>
  </si>
  <si>
    <t>fbaslar@my.yearupunited.org</t>
  </si>
  <si>
    <t>fuat baslar</t>
  </si>
  <si>
    <t>This is my first visit</t>
  </si>
  <si>
    <t>Fahsa</t>
  </si>
  <si>
    <t>Yes</t>
  </si>
  <si>
    <t>BOGO</t>
  </si>
  <si>
    <t>jalmarazflores@my.yearupunited.org</t>
  </si>
  <si>
    <t>julissa almarazflores</t>
  </si>
  <si>
    <t>About once a month</t>
  </si>
  <si>
    <t>Mandi</t>
  </si>
  <si>
    <t>Maybe</t>
  </si>
  <si>
    <t>n/a</t>
  </si>
  <si>
    <t>ccelik@my.yearupunited.org</t>
  </si>
  <si>
    <t>cagla celik</t>
  </si>
  <si>
    <t>Desserts</t>
  </si>
  <si>
    <t>No</t>
  </si>
  <si>
    <t>Free appetizer/Drink</t>
  </si>
  <si>
    <t>More gluten free options on the menu</t>
  </si>
  <si>
    <t>cugur@my.yearupunited.org</t>
  </si>
  <si>
    <t>ceyhun ugur</t>
  </si>
  <si>
    <t>kmarsh1@my.yearupunited.org</t>
  </si>
  <si>
    <t>kiersten marsh</t>
  </si>
  <si>
    <t>More drink options maybe</t>
  </si>
  <si>
    <t>edebero@my.yearupunited.org</t>
  </si>
  <si>
    <t>eyerusalem debero</t>
  </si>
  <si>
    <t>The service was good, and the restaurant has a nice atmosphere. More variety in menu options would be great.</t>
  </si>
  <si>
    <t>ktesema@my.yearupunited.org</t>
  </si>
  <si>
    <t>kidus tesema</t>
  </si>
  <si>
    <t>tarista@my.yearupunited.org</t>
  </si>
  <si>
    <t>tracy arista</t>
  </si>
  <si>
    <t>once a week or more</t>
  </si>
  <si>
    <t>asago@my.yearupunited.org</t>
  </si>
  <si>
    <t>antwaushea sago</t>
  </si>
  <si>
    <t xml:space="preserve">More items on the menu </t>
  </si>
  <si>
    <t>okaraer@my.yearupunited.org</t>
  </si>
  <si>
    <t>onur karaer</t>
  </si>
  <si>
    <t>Food descriptions can be more detailed in the menu</t>
  </si>
  <si>
    <t>plopez@my.yearupunited.org</t>
  </si>
  <si>
    <t>paul lopez</t>
  </si>
  <si>
    <t>wpoindexter@my.yearupunited.org</t>
  </si>
  <si>
    <t>william poindexter</t>
  </si>
  <si>
    <t>lpham1@my.yearupunited.org</t>
  </si>
  <si>
    <t>longley pham</t>
  </si>
  <si>
    <t>Tea</t>
  </si>
  <si>
    <t>Discount on future order</t>
  </si>
  <si>
    <t>pmartinez@my.yearupunited.org</t>
  </si>
  <si>
    <t>paola martinez</t>
  </si>
  <si>
    <t>ssimsek@my.yearupunited.org</t>
  </si>
  <si>
    <t>sultan simsek</t>
  </si>
  <si>
    <t>mruiz3@my.yearupunited.org</t>
  </si>
  <si>
    <t>maritza ruiz</t>
  </si>
  <si>
    <t>N/A</t>
  </si>
  <si>
    <t>jnavarroservin@my.yearupunited.org</t>
  </si>
  <si>
    <t>jessica navarroservin</t>
  </si>
  <si>
    <t>gmutize@my.yearupunited.org</t>
  </si>
  <si>
    <t>godknows mutize</t>
  </si>
  <si>
    <t>Saltah</t>
  </si>
  <si>
    <t>rmengesha@my.yearupunited.org</t>
  </si>
  <si>
    <t>sbowens@my.yearupunited.org</t>
  </si>
  <si>
    <t>shaquan bowens</t>
  </si>
  <si>
    <t>Add drinks to the combo meals</t>
  </si>
  <si>
    <t>Count of Name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</si>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</sst>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45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28" formatCode="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[Excercise_5B.xlsx]Sheet2!PivotTable1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Sheet2!$A$3:$A$6</c:f>
              <c:strCache>
                <c:ptCount val="3"/>
                <c:pt idx="0">
                  <c:v>About once a month</c:v>
                </c:pt>
                <c:pt idx="1">
                  <c:v>once a week or more</c:v>
                </c:pt>
                <c:pt idx="2">
                  <c:v>This is my first visit</c:v>
                </c:pt>
              </c:strCache>
            </c:strRef>
          </c:cat>
          <c:val>
            <c:numRef>
              <c:f>Sheet2!$B$3:$B$6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C-4129-B499-C465F79D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104775</xdr:rowOff>
    </xdr:from>
    <xdr:to>
      <xdr:col>7</xdr:col>
      <xdr:colOff>590550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0A1DD-2681-089B-6709-102ED9001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5.393899768518" createdVersion="8" refreshedVersion="8" minRefreshableVersion="3" recordCount="21" xr:uid="{301B5C36-87BD-4D15-A76D-FB171DF5E7B4}">
  <cacheSource type="worksheet">
    <worksheetSource name="OfficeForms.Table"/>
  </cacheSource>
  <cacheFields count="14">
    <cacheField name="Id" numFmtId="0">
      <sharedItems containsSemiMixedTypes="0" containsString="0" containsNumber="1" containsInteger="1" minValue="1" maxValue="21"/>
    </cacheField>
    <cacheField name="Start time" numFmtId="164">
      <sharedItems containsSemiMixedTypes="0" containsNonDate="0" containsDate="1" containsString="0" minDate="2026-04-09T13:34:01" maxDate="2026-04-10T14:55:02"/>
    </cacheField>
    <cacheField name="Completion time" numFmtId="164">
      <sharedItems containsSemiMixedTypes="0" containsNonDate="0" containsDate="1" containsString="0" minDate="2026-04-09T13:34:11" maxDate="2026-04-10T14:57:35"/>
    </cacheField>
    <cacheField name="Time to Complete" numFmtId="45">
      <sharedItems containsSemiMixedTypes="0" containsNonDate="0" containsDate="1" containsString="0" minDate="1899-12-30T00:00:10" maxDate="1899-12-30T03:24:32"/>
    </cacheField>
    <cacheField name="Email" numFmtId="0">
      <sharedItems/>
    </cacheField>
    <cacheField name="Name" numFmtId="0">
      <sharedItems/>
    </cacheField>
    <cacheField name="How often do you visit our cusine." numFmtId="0">
      <sharedItems count="3">
        <s v="This is my first visit"/>
        <s v="About once a month"/>
        <s v="once a week or more"/>
      </sharedItems>
    </cacheField>
    <cacheField name="How satisfied were you with your most recent visit" numFmtId="0">
      <sharedItems containsString="0" containsBlank="1" containsNumber="1" containsInteger="1" minValue="3" maxValue="5"/>
    </cacheField>
    <cacheField name="How would you rate the quality of the food" numFmtId="0">
      <sharedItems containsSemiMixedTypes="0" containsString="0" containsNumber="1" containsInteger="1" minValue="3" maxValue="5"/>
    </cacheField>
    <cacheField name="How would you rate the customer service?" numFmtId="0">
      <sharedItems containsSemiMixedTypes="0" containsString="0" containsNumber="1" containsInteger="1" minValue="2" maxValue="5"/>
    </cacheField>
    <cacheField name="Which Yemandi menu items do you order most often" numFmtId="0">
      <sharedItems/>
    </cacheField>
    <cacheField name="Would you be interested in joining a yemandi rewards system" numFmtId="0">
      <sharedItems/>
    </cacheField>
    <cacheField name="Which rewards would be most appealing to you" numFmtId="0">
      <sharedItems/>
    </cacheField>
    <cacheField name="Is there anything else you would like us to improve or add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d v="2026-04-09T13:34:01"/>
    <d v="2026-04-09T13:34:11"/>
    <d v="1899-12-30T00:00:10"/>
    <s v="fbaslar@my.yearupunited.org"/>
    <s v="fuat baslar"/>
    <x v="0"/>
    <n v="5"/>
    <n v="5"/>
    <n v="5"/>
    <s v="Fahsa"/>
    <s v="Yes"/>
    <s v="BOGO"/>
    <m/>
  </r>
  <r>
    <n v="2"/>
    <d v="2026-04-09T13:35:08"/>
    <d v="2026-04-09T13:35:41"/>
    <d v="1899-12-30T00:00:33"/>
    <s v="jalmarazflores@my.yearupunited.org"/>
    <s v="julissa almarazflores"/>
    <x v="1"/>
    <n v="3"/>
    <n v="3"/>
    <n v="3"/>
    <s v="Mandi"/>
    <s v="Maybe"/>
    <s v="BOGO"/>
    <s v="n/a"/>
  </r>
  <r>
    <n v="3"/>
    <d v="2026-04-09T13:34:58"/>
    <d v="2026-04-09T13:37:45"/>
    <d v="1899-12-30T00:02:47"/>
    <s v="ccelik@my.yearupunited.org"/>
    <s v="cagla celik"/>
    <x v="0"/>
    <n v="4"/>
    <n v="5"/>
    <n v="5"/>
    <s v="Desserts"/>
    <s v="No"/>
    <s v="Free appetizer/Drink"/>
    <s v="More gluten free options on the menu"/>
  </r>
  <r>
    <n v="4"/>
    <d v="2026-04-09T13:39:25"/>
    <d v="2026-04-09T13:39:44"/>
    <d v="1899-12-30T00:00:19"/>
    <s v="cugur@my.yearupunited.org"/>
    <s v="ceyhun ugur"/>
    <x v="0"/>
    <n v="4"/>
    <n v="5"/>
    <n v="5"/>
    <s v="Desserts"/>
    <s v="Maybe"/>
    <s v="Free appetizer/Drink"/>
    <m/>
  </r>
  <r>
    <n v="5"/>
    <d v="2026-04-09T13:41:48"/>
    <d v="2026-04-09T13:43:32"/>
    <d v="1899-12-30T00:01:44"/>
    <s v="kmarsh1@my.yearupunited.org"/>
    <s v="kiersten marsh"/>
    <x v="1"/>
    <n v="5"/>
    <n v="5"/>
    <n v="5"/>
    <s v="Desserts"/>
    <s v="Yes"/>
    <s v="BOGO"/>
    <s v="More drink options maybe"/>
  </r>
  <r>
    <n v="6"/>
    <d v="2026-04-09T13:45:14"/>
    <d v="2026-04-09T13:46:02"/>
    <d v="1899-12-30T00:00:48"/>
    <s v="edebero@my.yearupunited.org"/>
    <s v="eyerusalem debero"/>
    <x v="0"/>
    <n v="5"/>
    <n v="5"/>
    <n v="5"/>
    <s v="Desserts"/>
    <s v="Yes"/>
    <s v="Free appetizer/Drink"/>
    <s v="The service was good, and the restaurant has a nice atmosphere. More variety in menu options would be great."/>
  </r>
  <r>
    <n v="7"/>
    <d v="2026-04-09T13:45:45"/>
    <d v="2026-04-09T13:46:11"/>
    <d v="1899-12-30T00:00:26"/>
    <s v="ktesema@my.yearupunited.org"/>
    <s v="kidus tesema"/>
    <x v="0"/>
    <n v="5"/>
    <n v="4"/>
    <n v="4"/>
    <s v="Desserts"/>
    <s v="Yes"/>
    <s v="Free appetizer/Drink"/>
    <m/>
  </r>
  <r>
    <n v="8"/>
    <d v="2026-04-09T13:46:49"/>
    <d v="2026-04-09T13:49:08"/>
    <d v="1899-12-30T00:02:19"/>
    <s v="tarista@my.yearupunited.org"/>
    <s v="tracy arista"/>
    <x v="2"/>
    <n v="5"/>
    <n v="5"/>
    <n v="4"/>
    <s v="Mandi"/>
    <s v="Maybe"/>
    <s v="BOGO"/>
    <m/>
  </r>
  <r>
    <n v="9"/>
    <d v="2026-04-09T13:51:55"/>
    <d v="2026-04-09T13:52:49"/>
    <d v="1899-12-30T00:00:54"/>
    <s v="asago@my.yearupunited.org"/>
    <s v="antwaushea sago"/>
    <x v="0"/>
    <n v="4"/>
    <n v="4"/>
    <n v="4"/>
    <s v="Desserts"/>
    <s v="Yes"/>
    <s v="BOGO"/>
    <s v="More items on the menu "/>
  </r>
  <r>
    <n v="10"/>
    <d v="2026-04-09T13:52:58"/>
    <d v="2026-04-09T13:53:38"/>
    <d v="1899-12-30T00:00:40"/>
    <s v="okaraer@my.yearupunited.org"/>
    <s v="onur karaer"/>
    <x v="0"/>
    <n v="4"/>
    <n v="5"/>
    <n v="4"/>
    <s v="Mandi"/>
    <s v="Maybe"/>
    <s v="Free appetizer/Drink"/>
    <s v="Food descriptions can be more detailed in the menu"/>
  </r>
  <r>
    <n v="11"/>
    <d v="2026-04-09T13:53:06"/>
    <d v="2026-04-09T13:56:24"/>
    <d v="1899-12-30T00:03:18"/>
    <s v="plopez@my.yearupunited.org"/>
    <s v="paul lopez"/>
    <x v="0"/>
    <n v="3"/>
    <n v="4"/>
    <n v="4"/>
    <s v="Fahsa"/>
    <s v="Maybe"/>
    <s v="BOGO"/>
    <m/>
  </r>
  <r>
    <n v="12"/>
    <d v="2026-04-09T13:58:26"/>
    <d v="2026-04-09T13:58:40"/>
    <d v="1899-12-30T00:00:14"/>
    <s v="wpoindexter@my.yearupunited.org"/>
    <s v="william poindexter"/>
    <x v="0"/>
    <n v="4"/>
    <n v="4"/>
    <n v="4"/>
    <s v="Desserts"/>
    <s v="Yes"/>
    <s v="Free appetizer/Drink"/>
    <m/>
  </r>
  <r>
    <n v="13"/>
    <d v="2026-04-09T14:28:01"/>
    <d v="2026-04-09T14:33:14"/>
    <d v="1899-12-30T00:05:13"/>
    <s v="lpham1@my.yearupunited.org"/>
    <s v="longley pham"/>
    <x v="0"/>
    <n v="4"/>
    <n v="4"/>
    <n v="4"/>
    <s v="Tea"/>
    <s v="Maybe"/>
    <s v="Discount on future order"/>
    <m/>
  </r>
  <r>
    <n v="14"/>
    <d v="2026-04-09T16:28:06"/>
    <d v="2026-04-09T16:28:38"/>
    <d v="1899-12-30T00:00:32"/>
    <s v="pmartinez@my.yearupunited.org"/>
    <s v="paola martinez"/>
    <x v="0"/>
    <n v="5"/>
    <n v="5"/>
    <n v="5"/>
    <s v="Mandi"/>
    <s v="Maybe"/>
    <s v="Free appetizer/Drink"/>
    <m/>
  </r>
  <r>
    <n v="15"/>
    <d v="2026-04-09T16:28:25"/>
    <d v="2026-04-09T16:35:27"/>
    <d v="1899-12-30T00:07:02"/>
    <s v="ssimsek@my.yearupunited.org"/>
    <s v="sultan simsek"/>
    <x v="0"/>
    <m/>
    <n v="4"/>
    <n v="5"/>
    <s v="Tea"/>
    <s v="No"/>
    <s v="BOGO"/>
    <m/>
  </r>
  <r>
    <n v="16"/>
    <d v="2026-04-09T13:44:49"/>
    <d v="2026-04-09T17:09:21"/>
    <d v="1899-12-30T03:24:32"/>
    <s v="mruiz3@my.yearupunited.org"/>
    <s v="maritza ruiz"/>
    <x v="0"/>
    <n v="4"/>
    <n v="4"/>
    <n v="5"/>
    <s v="Desserts"/>
    <s v="Maybe"/>
    <s v="BOGO"/>
    <s v="n/a"/>
  </r>
  <r>
    <n v="17"/>
    <d v="2026-04-09T17:22:56"/>
    <d v="2026-04-09T17:37:19"/>
    <d v="1899-12-30T00:14:23"/>
    <s v="mruiz3@my.yearupunited.org"/>
    <s v="maritza ruiz"/>
    <x v="0"/>
    <n v="3"/>
    <n v="4"/>
    <n v="2"/>
    <s v="Desserts"/>
    <s v="Yes"/>
    <s v="BOGO"/>
    <s v="n/a"/>
  </r>
  <r>
    <n v="18"/>
    <d v="2026-04-09T17:50:02"/>
    <d v="2026-04-09T17:53:03"/>
    <d v="1899-12-30T00:03:01"/>
    <s v="jnavarroservin@my.yearupunited.org"/>
    <s v="jessica navarroservin"/>
    <x v="0"/>
    <n v="5"/>
    <n v="5"/>
    <n v="5"/>
    <s v="Tea"/>
    <s v="Maybe"/>
    <s v="Free appetizer/Drink"/>
    <m/>
  </r>
  <r>
    <n v="19"/>
    <d v="2026-04-10T00:05:10"/>
    <d v="2026-04-10T00:05:53"/>
    <d v="1899-12-30T00:00:43"/>
    <s v="gmutize@my.yearupunited.org"/>
    <s v="godknows mutize"/>
    <x v="2"/>
    <n v="5"/>
    <n v="5"/>
    <n v="5"/>
    <s v="Saltah"/>
    <s v="Yes"/>
    <s v="BOGO"/>
    <m/>
  </r>
  <r>
    <n v="20"/>
    <d v="2026-04-10T10:15:48"/>
    <d v="2026-04-10T10:16:29"/>
    <d v="1899-12-30T00:00:41"/>
    <s v="rmengesha@my.yearupunited.org"/>
    <s v="rmengesha@my.yearupunited.org"/>
    <x v="0"/>
    <n v="5"/>
    <n v="5"/>
    <n v="4"/>
    <s v="Desserts"/>
    <s v="Yes"/>
    <s v="Discount on future order"/>
    <m/>
  </r>
  <r>
    <n v="21"/>
    <d v="2026-04-10T14:55:02"/>
    <d v="2026-04-10T14:57:35"/>
    <d v="1899-12-30T00:02:33"/>
    <s v="sbowens@my.yearupunited.org"/>
    <s v="shaquan bowens"/>
    <x v="0"/>
    <n v="4"/>
    <n v="4"/>
    <n v="5"/>
    <s v="Mandi"/>
    <s v="Yes"/>
    <s v="Free appetizer/Drink"/>
    <s v="Add drinks to the combo meal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09E6F-A762-4768-B46C-BF4F50E7886D}" name="PivotTable1" cacheId="7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14">
    <pivotField compact="0" outline="0" showAll="0"/>
    <pivotField compact="0" numFmtId="164" outline="0" showAll="0"/>
    <pivotField compact="0" numFmtId="164" outline="0" showAll="0"/>
    <pivotField compact="0" numFmtId="45" outline="0" showAll="0"/>
    <pivotField compact="0" outline="0" showAll="0"/>
    <pivotField dataField="1"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23" totalsRowCount="1">
  <autoFilter ref="A1:N22" xr:uid="{00000000-0009-0000-0100-000001000000}"/>
  <tableColumns count="14">
    <tableColumn id="1" xr3:uid="{00000000-0010-0000-0000-000001000000}" name="Id" dataDxfId="26" totalsRowDxfId="2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4" totalsRowDxfId="25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2" totalsRowDxfId="23">
      <extLst>
        <ext xmlns:xlmsforms="http://schemas.microsoft.com/office/spreadsheetml/2023/msForms" uri="{FCC71383-01E1-4257-9335-427F07BE8D7F}">
          <xlmsforms:question id="submitDate"/>
        </ext>
      </extLst>
    </tableColumn>
    <tableColumn id="15" xr3:uid="{72285C89-7565-4744-B5AA-216A1A5F522A}" name="Time to Complete" totalsRowFunction="custom" dataDxfId="20" totalsRowDxfId="21">
      <calculatedColumnFormula>C2-B2</calculatedColumnFormula>
      <totalsRowFormula>AVERAGE(D2:D22)</totalsRowFormula>
    </tableColumn>
    <tableColumn id="4" xr3:uid="{00000000-0010-0000-0000-000004000000}" name="Email" dataDxfId="18" totalsRow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6" totalsRow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our cusine." dataDxfId="14" totalsRowDxfId="15">
      <extLst>
        <ext xmlns:xlmsforms="http://schemas.microsoft.com/office/spreadsheetml/2023/msForms" uri="{FCC71383-01E1-4257-9335-427F07BE8D7F}">
          <xlmsforms:question id="re7b8b4c7309b4c2fa0fe676ced5ae8a7"/>
        </ext>
      </extLst>
    </tableColumn>
    <tableColumn id="7" xr3:uid="{00000000-0010-0000-0000-000007000000}" name="How satisfied were you with your most recent visit" dataDxfId="12" totalsRowDxfId="13">
      <extLst>
        <ext xmlns:xlmsforms="http://schemas.microsoft.com/office/spreadsheetml/2023/msForms" uri="{FCC71383-01E1-4257-9335-427F07BE8D7F}">
          <xlmsforms:question id="rcb6e2f8ff1474913a6b776d25bc3831d"/>
        </ext>
      </extLst>
    </tableColumn>
    <tableColumn id="8" xr3:uid="{00000000-0010-0000-0000-000008000000}" name="How would you rate the quality of the food" dataDxfId="10" totalsRowDxfId="11">
      <extLst>
        <ext xmlns:xlmsforms="http://schemas.microsoft.com/office/spreadsheetml/2023/msForms" uri="{FCC71383-01E1-4257-9335-427F07BE8D7F}">
          <xlmsforms:question id="re408fe2773b3467bb75df29f2711195e"/>
        </ext>
      </extLst>
    </tableColumn>
    <tableColumn id="9" xr3:uid="{00000000-0010-0000-0000-000009000000}" name="How would you rate the customer service?" dataDxfId="8" totalsRowDxfId="9">
      <extLst>
        <ext xmlns:xlmsforms="http://schemas.microsoft.com/office/spreadsheetml/2023/msForms" uri="{FCC71383-01E1-4257-9335-427F07BE8D7F}">
          <xlmsforms:question id="r819526db0c4b42c0b10044c47acb21a1"/>
        </ext>
      </extLst>
    </tableColumn>
    <tableColumn id="10" xr3:uid="{00000000-0010-0000-0000-00000A000000}" name="Which Yemandi menu items do you order most often" dataDxfId="6" totalsRowDxfId="7">
      <extLst>
        <ext xmlns:xlmsforms="http://schemas.microsoft.com/office/spreadsheetml/2023/msForms" uri="{FCC71383-01E1-4257-9335-427F07BE8D7F}">
          <xlmsforms:question id="re76c69963ca942f59e10a56bb09593de"/>
        </ext>
      </extLst>
    </tableColumn>
    <tableColumn id="11" xr3:uid="{00000000-0010-0000-0000-00000B000000}" name="Would you be interested in joining a yemandi rewards system" dataDxfId="4" totalsRowDxfId="5">
      <extLst>
        <ext xmlns:xlmsforms="http://schemas.microsoft.com/office/spreadsheetml/2023/msForms" uri="{FCC71383-01E1-4257-9335-427F07BE8D7F}">
          <xlmsforms:question id="r36b364c75bc049788744636b4eeebc54"/>
        </ext>
      </extLst>
    </tableColumn>
    <tableColumn id="12" xr3:uid="{00000000-0010-0000-0000-00000C000000}" name="Which rewards would be most appealing to you" dataDxfId="2" totalsRowDxfId="3">
      <extLst>
        <ext xmlns:xlmsforms="http://schemas.microsoft.com/office/spreadsheetml/2023/msForms" uri="{FCC71383-01E1-4257-9335-427F07BE8D7F}">
          <xlmsforms:question id="r8275ceb655f34a38bed7c1e23a317414"/>
        </ext>
      </extLst>
    </tableColumn>
    <tableColumn id="13" xr3:uid="{00000000-0010-0000-0000-00000D000000}" name="Is there anything else you would like us to improve or add?" dataDxfId="0" totalsRowDxfId="1">
      <extLst>
        <ext xmlns:xlmsforms="http://schemas.microsoft.com/office/spreadsheetml/2023/msForms" uri="{FCC71383-01E1-4257-9335-427F07BE8D7F}">
          <xlmsforms:question id="r20ecddecb4534fdf85cc3d806bc6f41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zbKEb2LLOVJsbNVtSsv51xUNlZFNFI5R1BXQlZTOTgwM0RGME5CNkRQNi4u" isFormConnected="1" maxResponseId="21" latestEventMarker="1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re7b8b4c7309b4c2fa0fe676ced5ae8a7</xlmsforms:syncedQuestionId>
        <xlmsforms:syncedQuestionId>rcb6e2f8ff1474913a6b776d25bc3831d</xlmsforms:syncedQuestionId>
        <xlmsforms:syncedQuestionId>re408fe2773b3467bb75df29f2711195e</xlmsforms:syncedQuestionId>
        <xlmsforms:syncedQuestionId>r819526db0c4b42c0b10044c47acb21a1</xlmsforms:syncedQuestionId>
        <xlmsforms:syncedQuestionId>re76c69963ca942f59e10a56bb09593de</xlmsforms:syncedQuestionId>
        <xlmsforms:syncedQuestionId>r36b364c75bc049788744636b4eeebc54</xlmsforms:syncedQuestionId>
        <xlmsforms:syncedQuestionId>r8275ceb655f34a38bed7c1e23a317414</xlmsforms:syncedQuestionId>
        <xlmsforms:syncedQuestionId>r20ecddecb4534fdf85cc3d806bc6f416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activeCell="C14" sqref="C14"/>
    </sheetView>
  </sheetViews>
  <sheetFormatPr defaultRowHeight="15"/>
  <cols>
    <col min="1" max="1" width="20" bestFit="1" customWidth="1"/>
    <col min="2" max="3" width="20" style="2" bestFit="1" customWidth="1"/>
    <col min="4" max="4" width="20" style="3" customWidth="1"/>
    <col min="5" max="14" width="20" bestFit="1" customWidth="1"/>
  </cols>
  <sheetData>
    <row r="1" spans="1:14">
      <c r="A1" t="s">
        <v>0</v>
      </c>
      <c r="B1" s="2" t="s">
        <v>1</v>
      </c>
      <c r="C1" s="2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2">
        <v>46121.565289351849</v>
      </c>
      <c r="C2" s="2">
        <v>46121.565405092595</v>
      </c>
      <c r="D2" s="3">
        <f t="shared" ref="D2:D22" si="0">C2-B2</f>
        <v>1.1574074596865103E-4</v>
      </c>
      <c r="E2" t="s">
        <v>14</v>
      </c>
      <c r="F2" t="s">
        <v>15</v>
      </c>
      <c r="G2" t="s">
        <v>16</v>
      </c>
      <c r="H2">
        <v>5</v>
      </c>
      <c r="I2">
        <v>5</v>
      </c>
      <c r="J2">
        <v>5</v>
      </c>
      <c r="K2" t="s">
        <v>17</v>
      </c>
      <c r="L2" t="s">
        <v>18</v>
      </c>
      <c r="M2" t="s">
        <v>19</v>
      </c>
    </row>
    <row r="3" spans="1:14">
      <c r="A3">
        <v>2</v>
      </c>
      <c r="B3" s="2">
        <v>46121.566064814811</v>
      </c>
      <c r="C3" s="2">
        <v>46121.566446759258</v>
      </c>
      <c r="D3" s="3">
        <f t="shared" si="0"/>
        <v>3.819444464170374E-4</v>
      </c>
      <c r="E3" t="s">
        <v>20</v>
      </c>
      <c r="F3" t="s">
        <v>21</v>
      </c>
      <c r="G3" t="s">
        <v>22</v>
      </c>
      <c r="H3">
        <v>3</v>
      </c>
      <c r="I3">
        <v>3</v>
      </c>
      <c r="J3">
        <v>3</v>
      </c>
      <c r="K3" t="s">
        <v>23</v>
      </c>
      <c r="L3" t="s">
        <v>24</v>
      </c>
      <c r="M3" t="s">
        <v>19</v>
      </c>
      <c r="N3" t="s">
        <v>25</v>
      </c>
    </row>
    <row r="4" spans="1:14">
      <c r="A4">
        <v>3</v>
      </c>
      <c r="B4" s="2">
        <v>46121.565949074073</v>
      </c>
      <c r="C4" s="2">
        <v>46121.567881944444</v>
      </c>
      <c r="D4" s="3">
        <f t="shared" si="0"/>
        <v>1.9328703710925765E-3</v>
      </c>
      <c r="E4" t="s">
        <v>26</v>
      </c>
      <c r="F4" t="s">
        <v>27</v>
      </c>
      <c r="G4" t="s">
        <v>16</v>
      </c>
      <c r="H4">
        <v>4</v>
      </c>
      <c r="I4">
        <v>5</v>
      </c>
      <c r="J4">
        <v>5</v>
      </c>
      <c r="K4" t="s">
        <v>28</v>
      </c>
      <c r="L4" t="s">
        <v>29</v>
      </c>
      <c r="M4" t="s">
        <v>30</v>
      </c>
      <c r="N4" t="s">
        <v>31</v>
      </c>
    </row>
    <row r="5" spans="1:14">
      <c r="A5">
        <v>4</v>
      </c>
      <c r="B5" s="2">
        <v>46121.569039351853</v>
      </c>
      <c r="C5" s="2">
        <v>46121.56925925926</v>
      </c>
      <c r="D5" s="3">
        <f t="shared" si="0"/>
        <v>2.1990740788169205E-4</v>
      </c>
      <c r="E5" t="s">
        <v>32</v>
      </c>
      <c r="F5" t="s">
        <v>33</v>
      </c>
      <c r="G5" t="s">
        <v>16</v>
      </c>
      <c r="H5">
        <v>4</v>
      </c>
      <c r="I5">
        <v>5</v>
      </c>
      <c r="J5">
        <v>5</v>
      </c>
      <c r="K5" t="s">
        <v>28</v>
      </c>
      <c r="L5" t="s">
        <v>24</v>
      </c>
      <c r="M5" t="s">
        <v>30</v>
      </c>
    </row>
    <row r="6" spans="1:14">
      <c r="A6">
        <v>5</v>
      </c>
      <c r="B6" s="2">
        <v>46121.570694444446</v>
      </c>
      <c r="C6" s="2">
        <v>46121.571898148148</v>
      </c>
      <c r="D6" s="3">
        <f t="shared" si="0"/>
        <v>1.2037037013215013E-3</v>
      </c>
      <c r="E6" t="s">
        <v>34</v>
      </c>
      <c r="F6" t="s">
        <v>35</v>
      </c>
      <c r="G6" t="s">
        <v>22</v>
      </c>
      <c r="H6">
        <v>5</v>
      </c>
      <c r="I6">
        <v>5</v>
      </c>
      <c r="J6">
        <v>5</v>
      </c>
      <c r="K6" t="s">
        <v>28</v>
      </c>
      <c r="L6" t="s">
        <v>18</v>
      </c>
      <c r="M6" t="s">
        <v>19</v>
      </c>
      <c r="N6" t="s">
        <v>36</v>
      </c>
    </row>
    <row r="7" spans="1:14">
      <c r="A7">
        <v>6</v>
      </c>
      <c r="B7" s="2">
        <v>46121.573078703703</v>
      </c>
      <c r="C7" s="2">
        <v>46121.573634259257</v>
      </c>
      <c r="D7" s="3">
        <f t="shared" si="0"/>
        <v>5.5555555445607752E-4</v>
      </c>
      <c r="E7" t="s">
        <v>37</v>
      </c>
      <c r="F7" t="s">
        <v>38</v>
      </c>
      <c r="G7" t="s">
        <v>16</v>
      </c>
      <c r="H7">
        <v>5</v>
      </c>
      <c r="I7">
        <v>5</v>
      </c>
      <c r="J7">
        <v>5</v>
      </c>
      <c r="K7" t="s">
        <v>28</v>
      </c>
      <c r="L7" t="s">
        <v>18</v>
      </c>
      <c r="M7" t="s">
        <v>30</v>
      </c>
      <c r="N7" t="s">
        <v>39</v>
      </c>
    </row>
    <row r="8" spans="1:14">
      <c r="A8">
        <v>7</v>
      </c>
      <c r="B8" s="2">
        <v>46121.573437500003</v>
      </c>
      <c r="C8" s="2">
        <v>46121.573738425926</v>
      </c>
      <c r="D8" s="3">
        <f t="shared" si="0"/>
        <v>3.0092592351138592E-4</v>
      </c>
      <c r="E8" t="s">
        <v>40</v>
      </c>
      <c r="F8" t="s">
        <v>41</v>
      </c>
      <c r="G8" t="s">
        <v>16</v>
      </c>
      <c r="H8">
        <v>5</v>
      </c>
      <c r="I8">
        <v>4</v>
      </c>
      <c r="J8">
        <v>4</v>
      </c>
      <c r="K8" t="s">
        <v>28</v>
      </c>
      <c r="L8" t="s">
        <v>18</v>
      </c>
      <c r="M8" t="s">
        <v>30</v>
      </c>
    </row>
    <row r="9" spans="1:14">
      <c r="A9">
        <v>8</v>
      </c>
      <c r="B9" s="2">
        <v>46121.574178240699</v>
      </c>
      <c r="C9" s="2">
        <v>46121.575787037</v>
      </c>
      <c r="D9" s="3">
        <f t="shared" si="0"/>
        <v>1.6087963012978435E-3</v>
      </c>
      <c r="E9" s="1" t="s">
        <v>42</v>
      </c>
      <c r="F9" s="1" t="s">
        <v>43</v>
      </c>
      <c r="G9" s="1" t="s">
        <v>44</v>
      </c>
      <c r="H9">
        <v>5</v>
      </c>
      <c r="I9">
        <v>5</v>
      </c>
      <c r="J9">
        <v>4</v>
      </c>
      <c r="K9" s="1" t="s">
        <v>23</v>
      </c>
      <c r="L9" s="1" t="s">
        <v>24</v>
      </c>
      <c r="M9" s="1" t="s">
        <v>19</v>
      </c>
      <c r="N9" s="1"/>
    </row>
    <row r="10" spans="1:14">
      <c r="A10">
        <v>9</v>
      </c>
      <c r="B10" s="2">
        <v>46121.5777199074</v>
      </c>
      <c r="C10" s="2">
        <v>46121.578344907401</v>
      </c>
      <c r="D10" s="3">
        <f t="shared" si="0"/>
        <v>6.2500000058207661E-4</v>
      </c>
      <c r="E10" s="1" t="s">
        <v>45</v>
      </c>
      <c r="F10" s="1" t="s">
        <v>46</v>
      </c>
      <c r="G10" s="1" t="s">
        <v>16</v>
      </c>
      <c r="H10">
        <v>4</v>
      </c>
      <c r="I10">
        <v>4</v>
      </c>
      <c r="J10">
        <v>4</v>
      </c>
      <c r="K10" s="1" t="s">
        <v>28</v>
      </c>
      <c r="L10" s="1" t="s">
        <v>18</v>
      </c>
      <c r="M10" s="1" t="s">
        <v>19</v>
      </c>
      <c r="N10" s="1" t="s">
        <v>47</v>
      </c>
    </row>
    <row r="11" spans="1:14">
      <c r="A11">
        <v>10</v>
      </c>
      <c r="B11" s="2">
        <v>46121.578449074099</v>
      </c>
      <c r="C11" s="2">
        <v>46121.578912037003</v>
      </c>
      <c r="D11" s="3">
        <f t="shared" si="0"/>
        <v>4.6296290383907035E-4</v>
      </c>
      <c r="E11" s="1" t="s">
        <v>48</v>
      </c>
      <c r="F11" s="1" t="s">
        <v>49</v>
      </c>
      <c r="G11" s="1" t="s">
        <v>16</v>
      </c>
      <c r="H11">
        <v>4</v>
      </c>
      <c r="I11">
        <v>5</v>
      </c>
      <c r="J11">
        <v>4</v>
      </c>
      <c r="K11" s="1" t="s">
        <v>23</v>
      </c>
      <c r="L11" s="1" t="s">
        <v>24</v>
      </c>
      <c r="M11" s="1" t="s">
        <v>30</v>
      </c>
      <c r="N11" s="1" t="s">
        <v>50</v>
      </c>
    </row>
    <row r="12" spans="1:14">
      <c r="A12">
        <v>11</v>
      </c>
      <c r="B12" s="2">
        <v>46121.578541666699</v>
      </c>
      <c r="C12" s="2">
        <v>46121.580833333297</v>
      </c>
      <c r="D12" s="3">
        <f t="shared" si="0"/>
        <v>2.2916665984666906E-3</v>
      </c>
      <c r="E12" s="1" t="s">
        <v>51</v>
      </c>
      <c r="F12" s="1" t="s">
        <v>52</v>
      </c>
      <c r="G12" s="1" t="s">
        <v>16</v>
      </c>
      <c r="H12">
        <v>3</v>
      </c>
      <c r="I12">
        <v>4</v>
      </c>
      <c r="J12">
        <v>4</v>
      </c>
      <c r="K12" s="1" t="s">
        <v>17</v>
      </c>
      <c r="L12" s="1" t="s">
        <v>24</v>
      </c>
      <c r="M12" s="1" t="s">
        <v>19</v>
      </c>
      <c r="N12" s="1"/>
    </row>
    <row r="13" spans="1:14">
      <c r="A13">
        <v>12</v>
      </c>
      <c r="B13" s="2">
        <v>46121.582245370402</v>
      </c>
      <c r="C13" s="2">
        <v>46121.582407407397</v>
      </c>
      <c r="D13" s="3">
        <f t="shared" si="0"/>
        <v>1.6203699487959966E-4</v>
      </c>
      <c r="E13" s="1" t="s">
        <v>53</v>
      </c>
      <c r="F13" s="1" t="s">
        <v>54</v>
      </c>
      <c r="G13" s="1" t="s">
        <v>16</v>
      </c>
      <c r="H13">
        <v>4</v>
      </c>
      <c r="I13">
        <v>4</v>
      </c>
      <c r="J13">
        <v>4</v>
      </c>
      <c r="K13" s="1" t="s">
        <v>28</v>
      </c>
      <c r="L13" s="1" t="s">
        <v>18</v>
      </c>
      <c r="M13" s="1" t="s">
        <v>30</v>
      </c>
      <c r="N13" s="1"/>
    </row>
    <row r="14" spans="1:14">
      <c r="A14">
        <v>13</v>
      </c>
      <c r="B14" s="2">
        <v>46121.602789351797</v>
      </c>
      <c r="C14" s="2">
        <v>46121.606412036999</v>
      </c>
      <c r="D14" s="3">
        <f t="shared" si="0"/>
        <v>3.6226852025720291E-3</v>
      </c>
      <c r="E14" s="1" t="s">
        <v>55</v>
      </c>
      <c r="F14" s="1" t="s">
        <v>56</v>
      </c>
      <c r="G14" s="1" t="s">
        <v>16</v>
      </c>
      <c r="H14">
        <v>4</v>
      </c>
      <c r="I14">
        <v>4</v>
      </c>
      <c r="J14">
        <v>4</v>
      </c>
      <c r="K14" s="1" t="s">
        <v>57</v>
      </c>
      <c r="L14" s="1" t="s">
        <v>24</v>
      </c>
      <c r="M14" s="1" t="s">
        <v>58</v>
      </c>
      <c r="N14" s="1"/>
    </row>
    <row r="15" spans="1:14">
      <c r="A15">
        <v>14</v>
      </c>
      <c r="B15" s="2">
        <v>46121.686180555596</v>
      </c>
      <c r="C15" s="2">
        <v>46121.686550925901</v>
      </c>
      <c r="D15" s="3">
        <f t="shared" si="0"/>
        <v>3.7037030415376648E-4</v>
      </c>
      <c r="E15" s="1" t="s">
        <v>59</v>
      </c>
      <c r="F15" s="1" t="s">
        <v>60</v>
      </c>
      <c r="G15" s="1" t="s">
        <v>16</v>
      </c>
      <c r="H15">
        <v>5</v>
      </c>
      <c r="I15">
        <v>5</v>
      </c>
      <c r="J15">
        <v>5</v>
      </c>
      <c r="K15" s="1" t="s">
        <v>23</v>
      </c>
      <c r="L15" s="1" t="s">
        <v>24</v>
      </c>
      <c r="M15" s="1" t="s">
        <v>30</v>
      </c>
      <c r="N15" s="1"/>
    </row>
    <row r="16" spans="1:14">
      <c r="A16">
        <v>15</v>
      </c>
      <c r="B16" s="2">
        <v>46121.686400462997</v>
      </c>
      <c r="C16" s="2">
        <v>46121.691284722197</v>
      </c>
      <c r="D16" s="3">
        <f t="shared" si="0"/>
        <v>4.8842592004803009E-3</v>
      </c>
      <c r="E16" s="1" t="s">
        <v>61</v>
      </c>
      <c r="F16" s="1" t="s">
        <v>62</v>
      </c>
      <c r="G16" s="1" t="s">
        <v>16</v>
      </c>
      <c r="I16">
        <v>4</v>
      </c>
      <c r="J16">
        <v>5</v>
      </c>
      <c r="K16" s="1" t="s">
        <v>57</v>
      </c>
      <c r="L16" s="1" t="s">
        <v>29</v>
      </c>
      <c r="M16" s="1" t="s">
        <v>19</v>
      </c>
      <c r="N16" s="1"/>
    </row>
    <row r="17" spans="1:14">
      <c r="A17">
        <v>16</v>
      </c>
      <c r="B17" s="2">
        <v>46121.572789351798</v>
      </c>
      <c r="C17" s="2">
        <v>46121.714826388903</v>
      </c>
      <c r="D17" s="3">
        <f t="shared" si="0"/>
        <v>0.14203703710518312</v>
      </c>
      <c r="E17" s="1" t="s">
        <v>63</v>
      </c>
      <c r="F17" s="1" t="s">
        <v>64</v>
      </c>
      <c r="G17" s="1" t="s">
        <v>16</v>
      </c>
      <c r="H17">
        <v>4</v>
      </c>
      <c r="I17">
        <v>4</v>
      </c>
      <c r="J17">
        <v>5</v>
      </c>
      <c r="K17" s="1" t="s">
        <v>28</v>
      </c>
      <c r="L17" s="1" t="s">
        <v>24</v>
      </c>
      <c r="M17" s="1" t="s">
        <v>19</v>
      </c>
      <c r="N17" s="1" t="s">
        <v>65</v>
      </c>
    </row>
    <row r="18" spans="1:14">
      <c r="A18">
        <v>17</v>
      </c>
      <c r="B18" s="2">
        <v>46121.724259259303</v>
      </c>
      <c r="C18" s="2">
        <v>46121.734247685199</v>
      </c>
      <c r="D18" s="3">
        <f t="shared" si="0"/>
        <v>9.9884258961537853E-3</v>
      </c>
      <c r="E18" s="1" t="s">
        <v>63</v>
      </c>
      <c r="F18" s="1" t="s">
        <v>64</v>
      </c>
      <c r="G18" s="1" t="s">
        <v>16</v>
      </c>
      <c r="H18">
        <v>3</v>
      </c>
      <c r="I18">
        <v>4</v>
      </c>
      <c r="J18">
        <v>2</v>
      </c>
      <c r="K18" s="1" t="s">
        <v>28</v>
      </c>
      <c r="L18" s="1" t="s">
        <v>18</v>
      </c>
      <c r="M18" s="1" t="s">
        <v>19</v>
      </c>
      <c r="N18" s="1" t="s">
        <v>65</v>
      </c>
    </row>
    <row r="19" spans="1:14">
      <c r="A19">
        <v>18</v>
      </c>
      <c r="B19" s="2">
        <v>46121.743078703701</v>
      </c>
      <c r="C19" s="2">
        <v>46121.745173611103</v>
      </c>
      <c r="D19" s="3">
        <f t="shared" si="0"/>
        <v>2.0949074023519643E-3</v>
      </c>
      <c r="E19" s="1" t="s">
        <v>66</v>
      </c>
      <c r="F19" s="1" t="s">
        <v>67</v>
      </c>
      <c r="G19" s="1" t="s">
        <v>16</v>
      </c>
      <c r="H19">
        <v>5</v>
      </c>
      <c r="I19">
        <v>5</v>
      </c>
      <c r="J19">
        <v>5</v>
      </c>
      <c r="K19" s="1" t="s">
        <v>57</v>
      </c>
      <c r="L19" s="1" t="s">
        <v>24</v>
      </c>
      <c r="M19" s="1" t="s">
        <v>30</v>
      </c>
      <c r="N19" s="1"/>
    </row>
    <row r="20" spans="1:14">
      <c r="A20">
        <v>19</v>
      </c>
      <c r="B20" s="2">
        <v>46122.003587963001</v>
      </c>
      <c r="C20" s="2">
        <v>46122.004085648201</v>
      </c>
      <c r="D20" s="3">
        <f t="shared" si="0"/>
        <v>4.9768519966164604E-4</v>
      </c>
      <c r="E20" s="1" t="s">
        <v>68</v>
      </c>
      <c r="F20" s="1" t="s">
        <v>69</v>
      </c>
      <c r="G20" s="1" t="s">
        <v>44</v>
      </c>
      <c r="H20">
        <v>5</v>
      </c>
      <c r="I20">
        <v>5</v>
      </c>
      <c r="J20">
        <v>5</v>
      </c>
      <c r="K20" s="1" t="s">
        <v>70</v>
      </c>
      <c r="L20" s="1" t="s">
        <v>18</v>
      </c>
      <c r="M20" s="1" t="s">
        <v>19</v>
      </c>
      <c r="N20" s="1"/>
    </row>
    <row r="21" spans="1:14">
      <c r="A21">
        <v>20</v>
      </c>
      <c r="B21" s="2">
        <v>46122.427638888897</v>
      </c>
      <c r="C21" s="2">
        <v>46122.4281134259</v>
      </c>
      <c r="D21" s="3">
        <f t="shared" si="0"/>
        <v>4.7453700244659558E-4</v>
      </c>
      <c r="E21" s="1" t="s">
        <v>71</v>
      </c>
      <c r="F21" s="1" t="s">
        <v>71</v>
      </c>
      <c r="G21" s="1" t="s">
        <v>16</v>
      </c>
      <c r="H21">
        <v>5</v>
      </c>
      <c r="I21">
        <v>5</v>
      </c>
      <c r="J21">
        <v>4</v>
      </c>
      <c r="K21" s="1" t="s">
        <v>28</v>
      </c>
      <c r="L21" s="1" t="s">
        <v>18</v>
      </c>
      <c r="M21" s="1" t="s">
        <v>58</v>
      </c>
      <c r="N21" s="1"/>
    </row>
    <row r="22" spans="1:14">
      <c r="A22">
        <v>21</v>
      </c>
      <c r="B22" s="2">
        <v>46122.621550925898</v>
      </c>
      <c r="C22" s="2">
        <v>46122.623321759304</v>
      </c>
      <c r="D22" s="3">
        <f t="shared" si="0"/>
        <v>1.7708334053168073E-3</v>
      </c>
      <c r="E22" s="1" t="s">
        <v>72</v>
      </c>
      <c r="F22" s="1" t="s">
        <v>73</v>
      </c>
      <c r="G22" s="1" t="s">
        <v>16</v>
      </c>
      <c r="H22">
        <v>4</v>
      </c>
      <c r="I22">
        <v>4</v>
      </c>
      <c r="J22">
        <v>5</v>
      </c>
      <c r="K22" s="1" t="s">
        <v>23</v>
      </c>
      <c r="L22" s="1" t="s">
        <v>18</v>
      </c>
      <c r="M22" s="1" t="s">
        <v>30</v>
      </c>
      <c r="N22" s="1" t="s">
        <v>74</v>
      </c>
    </row>
    <row r="23" spans="1:14">
      <c r="D23" s="3">
        <f>AVERAGE(D2:D22)</f>
        <v>8.3619929365730573E-3</v>
      </c>
      <c r="E23" s="1"/>
      <c r="F23" s="1"/>
      <c r="G23" s="1"/>
      <c r="K23" s="1"/>
      <c r="L23" s="1"/>
      <c r="M23" s="1"/>
      <c r="N23" s="1"/>
    </row>
    <row r="24" spans="1:14">
      <c r="H24">
        <f>AVERAGE(H2:H22)</f>
        <v>4.3</v>
      </c>
      <c r="K24">
        <f>SUM(COUNTIF(K2:K22,"Yes"),COUNTIF(K2:K22,"Maybe"))</f>
        <v>0</v>
      </c>
      <c r="L24">
        <f>COUNTIF(K2:K22,"Yes")</f>
        <v>0</v>
      </c>
    </row>
    <row r="25" spans="1:14">
      <c r="L25">
        <f>SUM(COUNTIF(K2:K22,"Yes"),COUNTIF(K2:K22,"Maybe"))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6FE7-7060-402A-90F7-685EAD865CC9}">
  <dimension ref="A2:B6"/>
  <sheetViews>
    <sheetView tabSelected="1" topLeftCell="A2" workbookViewId="0">
      <selection activeCell="H4" sqref="H4"/>
    </sheetView>
  </sheetViews>
  <sheetFormatPr defaultRowHeight="15"/>
  <cols>
    <col min="1" max="1" width="35.42578125" bestFit="1" customWidth="1"/>
    <col min="2" max="2" width="14.7109375" bestFit="1" customWidth="1"/>
  </cols>
  <sheetData>
    <row r="2" spans="1:2">
      <c r="A2" s="5" t="s">
        <v>6</v>
      </c>
      <c r="B2" t="s">
        <v>75</v>
      </c>
    </row>
    <row r="3" spans="1:2">
      <c r="A3" t="s">
        <v>22</v>
      </c>
      <c r="B3" s="4">
        <v>2</v>
      </c>
    </row>
    <row r="4" spans="1:2">
      <c r="A4" t="s">
        <v>44</v>
      </c>
      <c r="B4" s="4">
        <v>2</v>
      </c>
    </row>
    <row r="5" spans="1:2">
      <c r="A5" t="s">
        <v>16</v>
      </c>
      <c r="B5" s="4">
        <v>17</v>
      </c>
    </row>
    <row r="6" spans="1:2">
      <c r="A6" t="s">
        <v>76</v>
      </c>
      <c r="B6" s="4">
        <v>21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2026-04-09T18:48:49Z</dcterms:created>
  <dcterms:modified xsi:type="dcterms:W3CDTF">2026-04-13T14:31:39Z</dcterms:modified>
  <cp:category/>
  <cp:contentStatus/>
</cp:coreProperties>
</file>