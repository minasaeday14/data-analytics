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a/DataAnalytics/week-01/"/>
    </mc:Choice>
  </mc:AlternateContent>
  <xr:revisionPtr revIDLastSave="0" documentId="8_{7F3178E0-2D5B-CF4D-B748-D7F1567BE43E}" xr6:coauthVersionLast="47" xr6:coauthVersionMax="47" xr10:uidLastSave="{00000000-0000-0000-0000-000000000000}"/>
  <bookViews>
    <workbookView xWindow="29400" yWindow="0" windowWidth="38400" windowHeight="21600" activeTab="2" xr2:uid="{D68697D0-1D2A-48CE-BF08-A4B6B2D17B84}"/>
  </bookViews>
  <sheets>
    <sheet name="by search term" sheetId="1" r:id="rId1"/>
    <sheet name="by state" sheetId="2" r:id="rId2"/>
    <sheet name="Sheet1" sheetId="4" r:id="rId3"/>
    <sheet name="Sales region lookup" sheetId="3" r:id="rId4"/>
  </sheets>
  <definedNames>
    <definedName name="_xlnm._FilterDatabase" localSheetId="0" hidden="1">'by search term'!$A$1:$E$52</definedName>
  </definedNames>
  <calcPr calcId="191028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G7" i="3"/>
  <c r="H1" i="1"/>
</calcChain>
</file>

<file path=xl/sharedStrings.xml><?xml version="1.0" encoding="utf-8"?>
<sst xmlns="http://schemas.openxmlformats.org/spreadsheetml/2006/main" count="151" uniqueCount="71">
  <si>
    <t>RegionID</t>
  </si>
  <si>
    <t>Region</t>
  </si>
  <si>
    <t xml:space="preserve">Hamburger: </t>
  </si>
  <si>
    <t xml:space="preserve">Milkshake: </t>
  </si>
  <si>
    <t xml:space="preserve">Breakup: </t>
  </si>
  <si>
    <t># of regions</t>
  </si>
  <si>
    <t>date range</t>
  </si>
  <si>
    <t>2/21/24-2/28/25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</si>
  <si>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</si>
  <si>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</si>
  <si>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</si>
  <si>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</si>
  <si>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</si>
  <si>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</si>
  <si>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</si>
  <si>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</si>
  <si>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</si>
  <si>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</si>
  <si>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</si>
  <si>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</si>
  <si>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</si>
  <si>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</si>
  <si>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</si>
  <si>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</si>
  <si>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</si>
  <si>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</si>
  <si>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</si>
  <si>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</si>
  <si>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</si>
  <si>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</si>
  <si>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</si>
  <si>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</si>
  <si>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</si>
  <si>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</si>
  <si>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</si>
  <si>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</si>
  <si>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</si>
  <si>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</si>
  <si>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</si>
  <si>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</si>
  <si>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</si>
  <si>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</si>
  <si>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</si>
  <si>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</si>
  <si>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</si>
  <si>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</si>
  <si>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</si>
  <si>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</si>
  <si>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</si>
  <si>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</si>
  <si>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</si>
  <si>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</si>
  <si>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</si>
  <si>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</si>
  <si>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</si>
  <si>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</si>
  <si>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</si>
  <si>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</si>
  <si>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</si>
  <si>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</si>
  <si>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</si>
  <si>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Hamburger</t>
  </si>
  <si>
    <t>Milkshake</t>
  </si>
  <si>
    <t>NorthWest</t>
  </si>
  <si>
    <t>North Central</t>
  </si>
  <si>
    <t/>
  </si>
  <si>
    <t>(All)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</si>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</sst>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5" borderId="0" xfId="0" applyFont="1" applyFill="1" applyAlignment="1">
      <alignment readingOrder="1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[Ex4C_GTrends_marketing.xlsx]Sheet1!PivotTable6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Sheet1!$B$4:$B$14</c:f>
              <c:numCache>
                <c:formatCode>0.00%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0549-8A6E-E196F17E843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Sheet1!$C$4:$C$14</c:f>
              <c:numCache>
                <c:formatCode>0.00%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33-0549-8A6E-E196F17E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537232"/>
        <c:axId val="1052494976"/>
      </c:barChart>
      <c:catAx>
        <c:axId val="10525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94976"/>
        <c:crosses val="autoZero"/>
        <c:auto val="1"/>
        <c:lblAlgn val="ctr"/>
        <c:lblOffset val="100"/>
        <c:noMultiLvlLbl val="0"/>
      </c:catAx>
      <c:valAx>
        <c:axId val="10524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3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3389D-42A5-0F14-C648-01F013C5E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 Saeday" refreshedDate="46123.502305902781" createdVersion="8" refreshedVersion="8" minRefreshableVersion="3" recordCount="10" xr:uid="{E2F82556-2E18-6D49-BB1E-853319F1AD6E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10">
      <sharedItems containsSemiMixedTypes="0" containsString="0" containsNumber="1" minValue="0.66" maxValue="0.76"/>
    </cacheField>
    <cacheField name="Milkshake" numFmtId="10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71B6B-20CB-4E4D-9D2D-E1B638D015E4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0" showAll="0"/>
    <pivotField dataField="1" numFmtId="1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10"/>
    <dataField name="Sum of Milkshake" fld="3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DE05-0F55-4AFD-A2B1-B27BEF939A6C}">
  <dimension ref="A1:K52"/>
  <sheetViews>
    <sheetView topLeftCell="A16" workbookViewId="0">
      <selection activeCell="G51" sqref="G51"/>
    </sheetView>
  </sheetViews>
  <sheetFormatPr baseColWidth="10" defaultColWidth="8.83203125" defaultRowHeight="15" x14ac:dyDescent="0.2"/>
  <cols>
    <col min="2" max="2" width="22.1640625" bestFit="1" customWidth="1"/>
    <col min="3" max="3" width="12.5" customWidth="1"/>
    <col min="4" max="4" width="11.33203125" customWidth="1"/>
    <col min="5" max="5" width="8.6640625" customWidth="1"/>
    <col min="10" max="10" width="11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2">
        <f>COUNTA(B2:B52)</f>
        <v>51</v>
      </c>
      <c r="J1" s="3" t="s">
        <v>6</v>
      </c>
      <c r="K1" s="3" t="s">
        <v>7</v>
      </c>
    </row>
    <row r="2" spans="1:11" x14ac:dyDescent="0.2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 x14ac:dyDescent="0.2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10</v>
      </c>
      <c r="C4" s="1">
        <v>0.67</v>
      </c>
      <c r="D4" s="1">
        <v>0.19</v>
      </c>
      <c r="E4" s="1">
        <v>0.14000000000000001</v>
      </c>
    </row>
    <row r="5" spans="1:11" x14ac:dyDescent="0.2">
      <c r="A5">
        <v>4</v>
      </c>
      <c r="B5" t="s">
        <v>11</v>
      </c>
      <c r="C5" s="1">
        <v>0.68</v>
      </c>
      <c r="D5" s="1">
        <v>0.2</v>
      </c>
      <c r="E5" s="1">
        <v>0.12</v>
      </c>
    </row>
    <row r="6" spans="1:11" x14ac:dyDescent="0.2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 x14ac:dyDescent="0.2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 x14ac:dyDescent="0.2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 x14ac:dyDescent="0.2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11" x14ac:dyDescent="0.2">
      <c r="A10">
        <v>9</v>
      </c>
      <c r="B10" t="s">
        <v>16</v>
      </c>
      <c r="C10" s="1">
        <v>0.68</v>
      </c>
      <c r="D10" s="1">
        <v>0.16</v>
      </c>
      <c r="E10" s="1">
        <v>0.16</v>
      </c>
    </row>
    <row r="11" spans="1:11" x14ac:dyDescent="0.2">
      <c r="A11">
        <v>10</v>
      </c>
      <c r="B11" t="s">
        <v>17</v>
      </c>
      <c r="C11" s="1">
        <v>0.64</v>
      </c>
      <c r="D11" s="1">
        <v>0.22</v>
      </c>
      <c r="E11" s="1">
        <v>0.14000000000000001</v>
      </c>
    </row>
    <row r="12" spans="1:11" x14ac:dyDescent="0.2">
      <c r="A12">
        <v>11</v>
      </c>
      <c r="B12" t="s">
        <v>18</v>
      </c>
      <c r="C12" s="1">
        <v>0.65</v>
      </c>
      <c r="D12" s="1">
        <v>0.21</v>
      </c>
      <c r="E12" s="1">
        <v>0.14000000000000001</v>
      </c>
    </row>
    <row r="13" spans="1:11" x14ac:dyDescent="0.2">
      <c r="A13">
        <v>12</v>
      </c>
      <c r="B13" t="s">
        <v>19</v>
      </c>
      <c r="C13" s="1">
        <v>0.72</v>
      </c>
      <c r="D13" s="1">
        <v>0.15</v>
      </c>
      <c r="E13" s="1">
        <v>0.13</v>
      </c>
    </row>
    <row r="14" spans="1:11" x14ac:dyDescent="0.2">
      <c r="A14">
        <v>13</v>
      </c>
      <c r="B14" t="s">
        <v>20</v>
      </c>
      <c r="C14" s="1">
        <v>0.69</v>
      </c>
      <c r="D14" s="1">
        <v>0.18</v>
      </c>
      <c r="E14" s="1">
        <v>0.13</v>
      </c>
    </row>
    <row r="15" spans="1:11" x14ac:dyDescent="0.2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 x14ac:dyDescent="0.2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 x14ac:dyDescent="0.2">
      <c r="A17">
        <v>16</v>
      </c>
      <c r="B17" t="s">
        <v>23</v>
      </c>
      <c r="C17" s="1">
        <v>0.68</v>
      </c>
      <c r="D17" s="1">
        <v>0.18</v>
      </c>
      <c r="E17" s="1">
        <v>0.14000000000000001</v>
      </c>
    </row>
    <row r="18" spans="1:5" x14ac:dyDescent="0.2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25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26</v>
      </c>
      <c r="C20" s="1">
        <v>0.65</v>
      </c>
      <c r="D20" s="1">
        <v>0.21</v>
      </c>
      <c r="E20" s="1">
        <v>0.14000000000000001</v>
      </c>
    </row>
    <row r="21" spans="1:5" x14ac:dyDescent="0.2">
      <c r="A21">
        <v>20</v>
      </c>
      <c r="B21" t="s">
        <v>27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30</v>
      </c>
      <c r="C24" s="1">
        <v>0.67</v>
      </c>
      <c r="D24" s="1">
        <v>0.2</v>
      </c>
      <c r="E24" s="1">
        <v>0.13</v>
      </c>
    </row>
    <row r="25" spans="1:5" x14ac:dyDescent="0.2">
      <c r="A25">
        <v>24</v>
      </c>
      <c r="B25" t="s">
        <v>31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 x14ac:dyDescent="0.2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37</v>
      </c>
      <c r="C31" s="1">
        <v>0.68</v>
      </c>
      <c r="D31" s="1">
        <v>0.19</v>
      </c>
      <c r="E31" s="1">
        <v>0.13</v>
      </c>
    </row>
    <row r="32" spans="1:5" x14ac:dyDescent="0.2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 x14ac:dyDescent="0.2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41</v>
      </c>
      <c r="C35" s="1">
        <v>0.65</v>
      </c>
      <c r="D35" s="1">
        <v>0.22</v>
      </c>
      <c r="E35" s="1">
        <v>0.13</v>
      </c>
    </row>
    <row r="36" spans="1:5" x14ac:dyDescent="0.2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43</v>
      </c>
      <c r="C37" s="1">
        <v>0.63</v>
      </c>
      <c r="D37" s="1">
        <v>0.24</v>
      </c>
      <c r="E37" s="1">
        <v>0.13</v>
      </c>
    </row>
    <row r="38" spans="1:5" x14ac:dyDescent="0.2">
      <c r="A38">
        <v>37</v>
      </c>
      <c r="B38" t="s">
        <v>44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45</v>
      </c>
      <c r="C39" s="1">
        <v>0.7</v>
      </c>
      <c r="D39" s="1">
        <v>0.17</v>
      </c>
      <c r="E39" s="1">
        <v>0.13</v>
      </c>
    </row>
    <row r="40" spans="1:5" x14ac:dyDescent="0.2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47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48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50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51</v>
      </c>
      <c r="C45" s="1">
        <v>0.66</v>
      </c>
      <c r="D45" s="1">
        <v>0.21</v>
      </c>
      <c r="E45" s="1">
        <v>0.13</v>
      </c>
    </row>
    <row r="46" spans="1:5" x14ac:dyDescent="0.2">
      <c r="A46">
        <v>45</v>
      </c>
      <c r="B46" t="s">
        <v>52</v>
      </c>
      <c r="C46" s="1">
        <v>0.65</v>
      </c>
      <c r="D46" s="1">
        <v>0.21</v>
      </c>
      <c r="E46" s="1">
        <v>0.14000000000000001</v>
      </c>
    </row>
    <row r="47" spans="1:5" x14ac:dyDescent="0.2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54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55</v>
      </c>
      <c r="C49" s="1">
        <v>0.66</v>
      </c>
      <c r="D49" s="1">
        <v>0.19</v>
      </c>
      <c r="E49" s="1">
        <v>0.15</v>
      </c>
    </row>
    <row r="50" spans="1:5" x14ac:dyDescent="0.2">
      <c r="A50">
        <v>49</v>
      </c>
      <c r="B50" t="s">
        <v>56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 x14ac:dyDescent="0.2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CE0FDE05-0F55-4AFD-A2B1-B27BEF939A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2650-C04E-4908-AF0C-C2AC9C7E33EB}">
  <dimension ref="A1:AY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sheetData>
    <row r="1" spans="1:5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</row>
    <row r="2" spans="1:51" x14ac:dyDescent="0.2">
      <c r="A2" s="1">
        <v>0.65</v>
      </c>
      <c r="B2" s="1">
        <v>0.72</v>
      </c>
      <c r="C2" s="1">
        <v>0.67</v>
      </c>
      <c r="D2" s="1">
        <v>0.68</v>
      </c>
      <c r="E2" s="1">
        <v>0.65</v>
      </c>
      <c r="F2" s="1">
        <v>0.68</v>
      </c>
      <c r="G2" s="1">
        <v>0.64</v>
      </c>
      <c r="H2" s="1">
        <v>0.62</v>
      </c>
      <c r="I2" s="1">
        <v>0.68</v>
      </c>
      <c r="J2" s="1">
        <v>0.64</v>
      </c>
      <c r="K2" s="1">
        <v>0.65</v>
      </c>
      <c r="L2" s="1">
        <v>0.72</v>
      </c>
      <c r="M2" s="1">
        <v>0.69</v>
      </c>
      <c r="N2" s="1">
        <v>0.62</v>
      </c>
      <c r="O2" s="1">
        <v>0.63</v>
      </c>
      <c r="P2" s="1">
        <v>0.68</v>
      </c>
      <c r="Q2" s="1">
        <v>0.67</v>
      </c>
      <c r="R2" s="1">
        <v>0.63</v>
      </c>
      <c r="S2" s="1">
        <v>0.65</v>
      </c>
      <c r="T2" s="1">
        <v>0.7</v>
      </c>
      <c r="U2" s="1">
        <v>0.62</v>
      </c>
      <c r="V2" s="1">
        <v>0.62</v>
      </c>
      <c r="W2" s="1">
        <v>0.67</v>
      </c>
      <c r="X2" s="1">
        <v>0.68</v>
      </c>
      <c r="Y2" s="1">
        <v>0.69</v>
      </c>
      <c r="Z2" s="1">
        <v>0.67</v>
      </c>
      <c r="AA2" s="1">
        <v>0.74</v>
      </c>
      <c r="AB2" s="1">
        <v>0.7</v>
      </c>
      <c r="AC2" s="1">
        <v>0.67</v>
      </c>
      <c r="AD2" s="1">
        <v>0.68</v>
      </c>
      <c r="AE2" s="1">
        <v>0.61</v>
      </c>
      <c r="AF2" s="1">
        <v>0.67</v>
      </c>
      <c r="AG2" s="1">
        <v>0.63</v>
      </c>
      <c r="AH2" s="1">
        <v>0.65</v>
      </c>
      <c r="AI2" s="1">
        <v>0.69</v>
      </c>
      <c r="AJ2" s="1">
        <v>0.63</v>
      </c>
      <c r="AK2" s="1">
        <v>0.68</v>
      </c>
      <c r="AL2" s="1">
        <v>0.7</v>
      </c>
      <c r="AM2" s="1">
        <v>0.61</v>
      </c>
      <c r="AN2" s="1">
        <v>0.64</v>
      </c>
      <c r="AO2" s="1">
        <v>0.66</v>
      </c>
      <c r="AP2" s="1">
        <v>0.76</v>
      </c>
      <c r="AQ2" s="1">
        <v>0.65</v>
      </c>
      <c r="AR2" s="1">
        <v>0.66</v>
      </c>
      <c r="AS2" s="1">
        <v>0.65</v>
      </c>
      <c r="AT2" s="1">
        <v>0.69</v>
      </c>
      <c r="AU2" s="1">
        <v>0.65</v>
      </c>
      <c r="AV2" s="1">
        <v>0.66</v>
      </c>
      <c r="AW2" s="1">
        <v>0.64</v>
      </c>
      <c r="AX2" s="1">
        <v>0.67</v>
      </c>
      <c r="AY2" s="1">
        <v>0.71</v>
      </c>
    </row>
    <row r="3" spans="1:51" x14ac:dyDescent="0.2">
      <c r="A3" s="1">
        <v>0.23</v>
      </c>
      <c r="B3" s="1">
        <v>0.15</v>
      </c>
      <c r="C3" s="1">
        <v>0.19</v>
      </c>
      <c r="D3" s="1">
        <v>0.2</v>
      </c>
      <c r="E3" s="1">
        <v>0.2</v>
      </c>
      <c r="F3" s="1">
        <v>0.18</v>
      </c>
      <c r="G3" s="1">
        <v>0.22</v>
      </c>
      <c r="H3" s="1">
        <v>0.25</v>
      </c>
      <c r="I3" s="1">
        <v>0.16</v>
      </c>
      <c r="J3" s="1">
        <v>0.22</v>
      </c>
      <c r="K3" s="1">
        <v>0.21</v>
      </c>
      <c r="L3" s="1">
        <v>0.15</v>
      </c>
      <c r="M3" s="1">
        <v>0.18</v>
      </c>
      <c r="N3" s="1">
        <v>0.23</v>
      </c>
      <c r="O3" s="1">
        <v>0.23</v>
      </c>
      <c r="P3" s="1">
        <v>0.18</v>
      </c>
      <c r="Q3" s="1">
        <v>0.19</v>
      </c>
      <c r="R3" s="1">
        <v>0.23</v>
      </c>
      <c r="S3" s="1">
        <v>0.21</v>
      </c>
      <c r="T3" s="1">
        <v>0.17</v>
      </c>
      <c r="U3" s="1">
        <v>0.23</v>
      </c>
      <c r="V3" s="1">
        <v>0.21</v>
      </c>
      <c r="W3" s="1">
        <v>0.2</v>
      </c>
      <c r="X3" s="1">
        <v>0.19</v>
      </c>
      <c r="Y3" s="1">
        <v>0.2</v>
      </c>
      <c r="Z3" s="1">
        <v>0.19</v>
      </c>
      <c r="AA3" s="1">
        <v>0.14000000000000001</v>
      </c>
      <c r="AB3" s="1">
        <v>0.18</v>
      </c>
      <c r="AC3" s="1">
        <v>0.2</v>
      </c>
      <c r="AD3" s="1">
        <v>0.19</v>
      </c>
      <c r="AE3" s="1">
        <v>0.23</v>
      </c>
      <c r="AF3" s="1">
        <v>0.19</v>
      </c>
      <c r="AG3" s="1">
        <v>0.21</v>
      </c>
      <c r="AH3" s="1">
        <v>0.22</v>
      </c>
      <c r="AI3" s="1">
        <v>0.19</v>
      </c>
      <c r="AJ3" s="1">
        <v>0.24</v>
      </c>
      <c r="AK3" s="1">
        <v>0.2</v>
      </c>
      <c r="AL3" s="1">
        <v>0.17</v>
      </c>
      <c r="AM3" s="1">
        <v>0.24</v>
      </c>
      <c r="AN3" s="1">
        <v>0.23</v>
      </c>
      <c r="AO3" s="1">
        <v>0.23</v>
      </c>
      <c r="AP3" s="1">
        <v>0.14000000000000001</v>
      </c>
      <c r="AQ3" s="1">
        <v>0.22</v>
      </c>
      <c r="AR3" s="1">
        <v>0.21</v>
      </c>
      <c r="AS3" s="1">
        <v>0.21</v>
      </c>
      <c r="AT3" s="1">
        <v>0.17</v>
      </c>
      <c r="AU3" s="1">
        <v>0.22</v>
      </c>
      <c r="AV3" s="1">
        <v>0.19</v>
      </c>
      <c r="AW3" s="1">
        <v>0.23</v>
      </c>
      <c r="AX3" s="1">
        <v>0.19</v>
      </c>
      <c r="AY3" s="1">
        <v>0.16</v>
      </c>
    </row>
    <row r="4" spans="1:51" x14ac:dyDescent="0.2">
      <c r="A4" s="1">
        <v>0.12</v>
      </c>
      <c r="B4" s="1">
        <v>0.13</v>
      </c>
      <c r="C4" s="1">
        <v>0.14000000000000001</v>
      </c>
      <c r="D4" s="1">
        <v>0.12</v>
      </c>
      <c r="E4" s="1">
        <v>0.15</v>
      </c>
      <c r="F4" s="1">
        <v>0.14000000000000001</v>
      </c>
      <c r="G4" s="1">
        <v>0.14000000000000001</v>
      </c>
      <c r="H4" s="1">
        <v>0.13</v>
      </c>
      <c r="I4" s="1">
        <v>0.16</v>
      </c>
      <c r="J4" s="1">
        <v>0.14000000000000001</v>
      </c>
      <c r="K4" s="1">
        <v>0.14000000000000001</v>
      </c>
      <c r="L4" s="1">
        <v>0.13</v>
      </c>
      <c r="M4" s="1">
        <v>0.13</v>
      </c>
      <c r="N4" s="1">
        <v>0.15</v>
      </c>
      <c r="O4" s="1">
        <v>0.14000000000000001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0.13</v>
      </c>
      <c r="U4" s="1">
        <v>0.15</v>
      </c>
      <c r="V4" s="1">
        <v>0.17</v>
      </c>
      <c r="W4" s="1">
        <v>0.13</v>
      </c>
      <c r="X4" s="1">
        <v>0.13</v>
      </c>
      <c r="Y4" s="1">
        <v>0.11</v>
      </c>
      <c r="Z4" s="1">
        <v>0.14000000000000001</v>
      </c>
      <c r="AA4" s="1">
        <v>0.12</v>
      </c>
      <c r="AB4" s="1">
        <v>0.12</v>
      </c>
      <c r="AC4" s="1">
        <v>0.13</v>
      </c>
      <c r="AD4" s="1">
        <v>0.13</v>
      </c>
      <c r="AE4" s="1">
        <v>0.16</v>
      </c>
      <c r="AF4" s="1">
        <v>0.14000000000000001</v>
      </c>
      <c r="AG4" s="1">
        <v>0.16</v>
      </c>
      <c r="AH4" s="1">
        <v>0.13</v>
      </c>
      <c r="AI4" s="1">
        <v>0.12</v>
      </c>
      <c r="AJ4" s="1">
        <v>0.13</v>
      </c>
      <c r="AK4" s="1">
        <v>0.12</v>
      </c>
      <c r="AL4" s="1">
        <v>0.13</v>
      </c>
      <c r="AM4" s="1">
        <v>0.15</v>
      </c>
      <c r="AN4" s="1">
        <v>0.13</v>
      </c>
      <c r="AO4" s="1">
        <v>0.11</v>
      </c>
      <c r="AP4" s="1">
        <v>0.1</v>
      </c>
      <c r="AQ4" s="1">
        <v>0.13</v>
      </c>
      <c r="AR4" s="1">
        <v>0.13</v>
      </c>
      <c r="AS4" s="1">
        <v>0.14000000000000001</v>
      </c>
      <c r="AT4" s="1">
        <v>0.14000000000000001</v>
      </c>
      <c r="AU4" s="1">
        <v>0.13</v>
      </c>
      <c r="AV4" s="1">
        <v>0.15</v>
      </c>
      <c r="AW4" s="1">
        <v>0.13</v>
      </c>
      <c r="AX4" s="1">
        <v>0.14000000000000001</v>
      </c>
      <c r="AY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8197-C883-3048-AC7A-92000DD532D1}">
  <dimension ref="A1:C14"/>
  <sheetViews>
    <sheetView tabSelected="1" workbookViewId="0"/>
  </sheetViews>
  <sheetFormatPr baseColWidth="10" defaultRowHeight="15" x14ac:dyDescent="0.2"/>
  <cols>
    <col min="1" max="1" width="12.1640625" bestFit="1" customWidth="1"/>
    <col min="2" max="2" width="15.33203125" bestFit="1" customWidth="1"/>
    <col min="3" max="3" width="14.5" bestFit="1" customWidth="1"/>
  </cols>
  <sheetData>
    <row r="1" spans="1:3" x14ac:dyDescent="0.2">
      <c r="A1" s="6" t="s">
        <v>60</v>
      </c>
      <c r="B1" t="s">
        <v>66</v>
      </c>
    </row>
    <row r="3" spans="1:3" x14ac:dyDescent="0.2">
      <c r="A3" s="6" t="s">
        <v>67</v>
      </c>
      <c r="B3" t="s">
        <v>69</v>
      </c>
      <c r="C3" t="s">
        <v>70</v>
      </c>
    </row>
    <row r="4" spans="1:3" x14ac:dyDescent="0.2">
      <c r="A4" s="7" t="s">
        <v>20</v>
      </c>
      <c r="B4" s="5">
        <v>0.69</v>
      </c>
      <c r="C4" s="5">
        <v>0.18</v>
      </c>
    </row>
    <row r="5" spans="1:3" x14ac:dyDescent="0.2">
      <c r="A5" s="7" t="s">
        <v>30</v>
      </c>
      <c r="B5" s="5">
        <v>0.67</v>
      </c>
      <c r="C5" s="5">
        <v>0.2</v>
      </c>
    </row>
    <row r="6" spans="1:3" x14ac:dyDescent="0.2">
      <c r="A6" s="7" t="s">
        <v>31</v>
      </c>
      <c r="B6" s="5">
        <v>0.68</v>
      </c>
      <c r="C6" s="5">
        <v>0.19</v>
      </c>
    </row>
    <row r="7" spans="1:3" x14ac:dyDescent="0.2">
      <c r="A7" s="7" t="s">
        <v>34</v>
      </c>
      <c r="B7" s="5">
        <v>0.74</v>
      </c>
      <c r="C7" s="5">
        <v>0.14000000000000001</v>
      </c>
    </row>
    <row r="8" spans="1:3" x14ac:dyDescent="0.2">
      <c r="A8" s="7" t="s">
        <v>35</v>
      </c>
      <c r="B8" s="5">
        <v>0.7</v>
      </c>
      <c r="C8" s="5">
        <v>0.18</v>
      </c>
    </row>
    <row r="9" spans="1:3" x14ac:dyDescent="0.2">
      <c r="A9" s="7" t="s">
        <v>42</v>
      </c>
      <c r="B9" s="5">
        <v>0.69</v>
      </c>
      <c r="C9" s="5">
        <v>0.19</v>
      </c>
    </row>
    <row r="10" spans="1:3" x14ac:dyDescent="0.2">
      <c r="A10" s="7" t="s">
        <v>45</v>
      </c>
      <c r="B10" s="5">
        <v>0.7</v>
      </c>
      <c r="C10" s="5">
        <v>0.17</v>
      </c>
    </row>
    <row r="11" spans="1:3" x14ac:dyDescent="0.2">
      <c r="A11" s="7" t="s">
        <v>49</v>
      </c>
      <c r="B11" s="5">
        <v>0.76</v>
      </c>
      <c r="C11" s="5">
        <v>0.14000000000000001</v>
      </c>
    </row>
    <row r="12" spans="1:3" x14ac:dyDescent="0.2">
      <c r="A12" s="7" t="s">
        <v>55</v>
      </c>
      <c r="B12" s="5">
        <v>0.66</v>
      </c>
      <c r="C12" s="5">
        <v>0.19</v>
      </c>
    </row>
    <row r="13" spans="1:3" x14ac:dyDescent="0.2">
      <c r="A13" s="7" t="s">
        <v>57</v>
      </c>
      <c r="B13" s="5">
        <v>0.67</v>
      </c>
      <c r="C13" s="5">
        <v>0.19</v>
      </c>
    </row>
    <row r="14" spans="1:3" x14ac:dyDescent="0.2">
      <c r="A14" s="7" t="s">
        <v>68</v>
      </c>
      <c r="B14" s="5">
        <v>6.96</v>
      </c>
      <c r="C14" s="5">
        <v>1.77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407E-667D-4994-BA27-FF3457849536}">
  <dimension ref="A1:G11"/>
  <sheetViews>
    <sheetView workbookViewId="0">
      <selection sqref="A1:D11"/>
    </sheetView>
  </sheetViews>
  <sheetFormatPr baseColWidth="10" defaultColWidth="8.83203125" defaultRowHeight="15" x14ac:dyDescent="0.2"/>
  <cols>
    <col min="1" max="1" width="16.5" customWidth="1"/>
  </cols>
  <sheetData>
    <row r="1" spans="1:7" x14ac:dyDescent="0.2">
      <c r="A1" t="s">
        <v>59</v>
      </c>
      <c r="B1" t="s">
        <v>60</v>
      </c>
      <c r="C1" t="s">
        <v>61</v>
      </c>
      <c r="D1" t="s">
        <v>62</v>
      </c>
    </row>
    <row r="2" spans="1:7" x14ac:dyDescent="0.2">
      <c r="A2" t="s">
        <v>55</v>
      </c>
      <c r="B2" t="s">
        <v>63</v>
      </c>
      <c r="C2" s="5">
        <f>VLOOKUP('Sales region lookup'!A2, 'by search term'!B:C, 2, FALSE)</f>
        <v>0.66</v>
      </c>
      <c r="D2" s="5">
        <f>_xlfn.XLOOKUP(A2, 'by search term'!B1:B52, 'by search term'!D1:D52, "not found")</f>
        <v>0.19</v>
      </c>
    </row>
    <row r="3" spans="1:7" x14ac:dyDescent="0.2">
      <c r="A3" t="s">
        <v>45</v>
      </c>
      <c r="B3" t="s">
        <v>63</v>
      </c>
      <c r="C3" s="5">
        <f>VLOOKUP('Sales region lookup'!A3, 'by search term'!B:C, 2, FALSE)</f>
        <v>0.7</v>
      </c>
      <c r="D3" s="5">
        <f>_xlfn.XLOOKUP(A3, 'by search term'!B2:B53, 'by search term'!D2:D53, "not found")</f>
        <v>0.17</v>
      </c>
    </row>
    <row r="4" spans="1:7" x14ac:dyDescent="0.2">
      <c r="A4" t="s">
        <v>20</v>
      </c>
      <c r="B4" t="s">
        <v>63</v>
      </c>
      <c r="C4" s="5">
        <f>VLOOKUP('Sales region lookup'!A4, 'by search term'!B:C, 2, FALSE)</f>
        <v>0.69</v>
      </c>
      <c r="D4" s="5">
        <f>_xlfn.XLOOKUP(A4, 'by search term'!B3:B54, 'by search term'!D3:D54, "not found")</f>
        <v>0.18</v>
      </c>
    </row>
    <row r="5" spans="1:7" x14ac:dyDescent="0.2">
      <c r="A5" t="s">
        <v>34</v>
      </c>
      <c r="B5" t="s">
        <v>63</v>
      </c>
      <c r="C5" s="5">
        <f>VLOOKUP('Sales region lookup'!A5, 'by search term'!B:C, 2, FALSE)</f>
        <v>0.74</v>
      </c>
      <c r="D5" s="5">
        <f>_xlfn.XLOOKUP(A5, 'by search term'!B4:B55, 'by search term'!D4:D55, "not found")</f>
        <v>0.14000000000000001</v>
      </c>
    </row>
    <row r="6" spans="1:7" x14ac:dyDescent="0.2">
      <c r="A6" t="s">
        <v>42</v>
      </c>
      <c r="B6" t="s">
        <v>64</v>
      </c>
      <c r="C6" s="5">
        <f>VLOOKUP('Sales region lookup'!A6, 'by search term'!B:C, 2, FALSE)</f>
        <v>0.69</v>
      </c>
      <c r="D6" s="5">
        <f>_xlfn.XLOOKUP(A6, 'by search term'!B5:B56, 'by search term'!D5:D56, "not found")</f>
        <v>0.19</v>
      </c>
    </row>
    <row r="7" spans="1:7" ht="17" x14ac:dyDescent="0.2">
      <c r="A7" t="s">
        <v>49</v>
      </c>
      <c r="B7" t="s">
        <v>64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  <c r="E7" s="4"/>
      <c r="F7" s="4"/>
      <c r="G7" s="4" t="str">
        <f t="shared" ref="G7" si="0">TRIM(G6)</f>
        <v/>
      </c>
    </row>
    <row r="8" spans="1:7" x14ac:dyDescent="0.2">
      <c r="A8" t="s">
        <v>35</v>
      </c>
      <c r="B8" t="s">
        <v>64</v>
      </c>
      <c r="C8" s="5">
        <f>VLOOKUP('Sales region lookup'!A8, 'by search term'!B:C, 2, FALSE)</f>
        <v>0.7</v>
      </c>
      <c r="D8" s="5">
        <f>_xlfn.XLOOKUP(A8, 'by search term'!B7:B58, 'by search term'!D7:D58, "not found")</f>
        <v>0.18</v>
      </c>
      <c r="G8" t="s">
        <v>65</v>
      </c>
    </row>
    <row r="9" spans="1:7" x14ac:dyDescent="0.2">
      <c r="A9" t="s">
        <v>31</v>
      </c>
      <c r="B9" t="s">
        <v>64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0.19</v>
      </c>
    </row>
    <row r="10" spans="1:7" x14ac:dyDescent="0.2">
      <c r="A10" t="s">
        <v>57</v>
      </c>
      <c r="B10" t="s">
        <v>64</v>
      </c>
      <c r="C10" s="5">
        <f>VLOOKUP('Sales region lookup'!A10, 'by search term'!B:C, 2, FALSE)</f>
        <v>0.67</v>
      </c>
      <c r="D10" s="5">
        <f>_xlfn.XLOOKUP(A10, 'by search term'!B9:B60, 'by search term'!D9:D60, "not found")</f>
        <v>0.19</v>
      </c>
    </row>
    <row r="11" spans="1:7" x14ac:dyDescent="0.2">
      <c r="A11" t="s">
        <v>30</v>
      </c>
      <c r="B11" t="s">
        <v>64</v>
      </c>
      <c r="C11" s="5">
        <f>VLOOKUP('Sales region lookup'!A11, 'by search term'!B:C, 2, FALSE)</f>
        <v>0.67</v>
      </c>
      <c r="D11" s="5">
        <f>_xlfn.XLOOKUP(A11, 'by search term'!B10:B61, 'by search term'!D10:D61, "not found")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search term</vt:lpstr>
      <vt:lpstr>by state</vt:lpstr>
      <vt:lpstr>Sheet1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mina saeday</cp:lastModifiedBy>
  <cp:revision/>
  <dcterms:created xsi:type="dcterms:W3CDTF">2026-04-10T16:52:47Z</dcterms:created>
  <dcterms:modified xsi:type="dcterms:W3CDTF">2026-04-11T17:06:19Z</dcterms:modified>
  <cp:category/>
  <cp:contentStatus/>
</cp:coreProperties>
</file>