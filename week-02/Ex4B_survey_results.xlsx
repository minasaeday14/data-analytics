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C3A13576-42F9-48D6-B11A-5F1BEA48FE9A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</calcChain>
</file>

<file path=xl/sharedStrings.xml><?xml version="1.0" encoding="utf-8"?>
<sst xmlns="http://schemas.openxmlformats.org/spreadsheetml/2006/main" count="149" uniqueCount="75">
  <si>
    <t>Id</t>
  </si>
  <si>
    <t>Start time</t>
  </si>
  <si>
    <t>Completion time</t>
  </si>
  <si>
    <t>Time to Complete</t>
  </si>
  <si>
    <t>Email</t>
  </si>
  <si>
    <t>Name</t>
  </si>
  <si>
    <t>How often do you visit our cusine.</t>
  </si>
  <si>
    <t>How satisfied were you with your most recent visit</t>
  </si>
  <si>
    <t>How would you rate the quality of the food</t>
  </si>
  <si>
    <t>How would you rate the customer service?</t>
  </si>
  <si>
    <t>Which Yemandi menu items do you order most often</t>
  </si>
  <si>
    <t>Would you be interested in joining a yemandi rewards system</t>
  </si>
  <si>
    <t>Which rewards would be most appealing to you</t>
  </si>
  <si>
    <t>Is there anything else you would like us to improve or add?</t>
  </si>
  <si>
    <t>fbaslar@my.yearupunited.org</t>
  </si>
  <si>
    <t>fuat baslar</t>
  </si>
  <si>
    <t>This is my first visit</t>
  </si>
  <si>
    <t>Fahsa</t>
  </si>
  <si>
    <t>Yes</t>
  </si>
  <si>
    <t>BOGO</t>
  </si>
  <si>
    <t>jalmarazflores@my.yearupunited.org</t>
  </si>
  <si>
    <t>julissa almarazflores</t>
  </si>
  <si>
    <t>About once a month</t>
  </si>
  <si>
    <t>Mandi</t>
  </si>
  <si>
    <t>Maybe</t>
  </si>
  <si>
    <t>n/a</t>
  </si>
  <si>
    <t>ccelik@my.yearupunited.org</t>
  </si>
  <si>
    <t>cagla celik</t>
  </si>
  <si>
    <t>Desserts</t>
  </si>
  <si>
    <t>No</t>
  </si>
  <si>
    <t>Free appetizer/Drink</t>
  </si>
  <si>
    <t>More gluten free options on the menu</t>
  </si>
  <si>
    <t>cugur@my.yearupunited.org</t>
  </si>
  <si>
    <t>ceyhun ugur</t>
  </si>
  <si>
    <t>kmarsh1@my.yearupunited.org</t>
  </si>
  <si>
    <t>kiersten marsh</t>
  </si>
  <si>
    <t>More drink options maybe</t>
  </si>
  <si>
    <t>edebero@my.yearupunited.org</t>
  </si>
  <si>
    <t>eyerusalem debero</t>
  </si>
  <si>
    <t>The service was good, and the restaurant has a nice atmosphere. More variety in menu options would be great.</t>
  </si>
  <si>
    <t>ktesema@my.yearupunited.org</t>
  </si>
  <si>
    <t>kidus tesema</t>
  </si>
  <si>
    <t>tarista@my.yearupunited.org</t>
  </si>
  <si>
    <t>tracy arista</t>
  </si>
  <si>
    <t>once a week or more</t>
  </si>
  <si>
    <t>asago@my.yearupunited.org</t>
  </si>
  <si>
    <t>antwaushea sago</t>
  </si>
  <si>
    <t xml:space="preserve">More items on the menu </t>
  </si>
  <si>
    <t>okaraer@my.yearupunited.org</t>
  </si>
  <si>
    <t>onur karaer</t>
  </si>
  <si>
    <t>Food descriptions can be more detailed in the menu</t>
  </si>
  <si>
    <t>plopez@my.yearupunited.org</t>
  </si>
  <si>
    <t>paul lopez</t>
  </si>
  <si>
    <t>wpoindexter@my.yearupunited.org</t>
  </si>
  <si>
    <t>william poindexter</t>
  </si>
  <si>
    <t>lpham1@my.yearupunited.org</t>
  </si>
  <si>
    <t>longley pham</t>
  </si>
  <si>
    <t>Tea</t>
  </si>
  <si>
    <t>Discount on future order</t>
  </si>
  <si>
    <t>pmartinez@my.yearupunited.org</t>
  </si>
  <si>
    <t>paola martinez</t>
  </si>
  <si>
    <t>ssimsek@my.yearupunited.org</t>
  </si>
  <si>
    <t>sultan simsek</t>
  </si>
  <si>
    <t>mruiz3@my.yearupunited.org</t>
  </si>
  <si>
    <t>maritza ruiz</t>
  </si>
  <si>
    <t>N/A</t>
  </si>
  <si>
    <t>jnavarroservin@my.yearupunited.org</t>
  </si>
  <si>
    <t>jessica navarroservin</t>
  </si>
  <si>
    <t>gmutize@my.yearupunited.org</t>
  </si>
  <si>
    <t>godknows mutize</t>
  </si>
  <si>
    <t>Saltah</t>
  </si>
  <si>
    <t>rmengesha@my.yearupunited.org</t>
  </si>
  <si>
    <t>sbowens@my.yearupunited.org</t>
  </si>
  <si>
    <t>shaquan bowens</t>
  </si>
  <si>
    <t>Add drinks to the combo 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</si>
</sst>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5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28" formatCode="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23" totalsRowCount="1">
  <autoFilter ref="A1:N22" xr:uid="{00000000-0009-0000-0100-000001000000}"/>
  <tableColumns count="14">
    <tableColumn id="1" xr3:uid="{00000000-0010-0000-0000-000001000000}" name="Id" dataDxfId="26" totalsRowDxfId="2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4" totalsRowDxfId="25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2" totalsRowDxfId="23">
      <extLst>
        <ext xmlns:xlmsforms="http://schemas.microsoft.com/office/spreadsheetml/2023/msForms" uri="{FCC71383-01E1-4257-9335-427F07BE8D7F}">
          <xlmsforms:question id="submitDate"/>
        </ext>
      </extLst>
    </tableColumn>
    <tableColumn id="15" xr3:uid="{72285C89-7565-4744-B5AA-216A1A5F522A}" name="Time to Complete" totalsRowFunction="custom" dataDxfId="20" totalsRowDxfId="21">
      <calculatedColumnFormula>C2-B2</calculatedColumnFormula>
      <totalsRowFormula>AVERAGE(D2:D22)</totalsRowFormula>
    </tableColumn>
    <tableColumn id="4" xr3:uid="{00000000-0010-0000-0000-000004000000}" name="Email" dataDxfId="18" totalsRow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6" totalsRowDxfId="1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our cusine." dataDxfId="14" totalsRowDxfId="15">
      <extLst>
        <ext xmlns:xlmsforms="http://schemas.microsoft.com/office/spreadsheetml/2023/msForms" uri="{FCC71383-01E1-4257-9335-427F07BE8D7F}">
          <xlmsforms:question id="re7b8b4c7309b4c2fa0fe676ced5ae8a7"/>
        </ext>
      </extLst>
    </tableColumn>
    <tableColumn id="7" xr3:uid="{00000000-0010-0000-0000-000007000000}" name="How satisfied were you with your most recent visit" dataDxfId="12" totalsRowDxfId="13">
      <extLst>
        <ext xmlns:xlmsforms="http://schemas.microsoft.com/office/spreadsheetml/2023/msForms" uri="{FCC71383-01E1-4257-9335-427F07BE8D7F}">
          <xlmsforms:question id="rcb6e2f8ff1474913a6b776d25bc3831d"/>
        </ext>
      </extLst>
    </tableColumn>
    <tableColumn id="8" xr3:uid="{00000000-0010-0000-0000-000008000000}" name="How would you rate the quality of the food" dataDxfId="10" totalsRowDxfId="11">
      <extLst>
        <ext xmlns:xlmsforms="http://schemas.microsoft.com/office/spreadsheetml/2023/msForms" uri="{FCC71383-01E1-4257-9335-427F07BE8D7F}">
          <xlmsforms:question id="re408fe2773b3467bb75df29f2711195e"/>
        </ext>
      </extLst>
    </tableColumn>
    <tableColumn id="9" xr3:uid="{00000000-0010-0000-0000-000009000000}" name="How would you rate the customer service?" dataDxfId="8" totalsRowDxfId="9">
      <extLst>
        <ext xmlns:xlmsforms="http://schemas.microsoft.com/office/spreadsheetml/2023/msForms" uri="{FCC71383-01E1-4257-9335-427F07BE8D7F}">
          <xlmsforms:question id="r819526db0c4b42c0b10044c47acb21a1"/>
        </ext>
      </extLst>
    </tableColumn>
    <tableColumn id="10" xr3:uid="{00000000-0010-0000-0000-00000A000000}" name="Which Yemandi menu items do you order most often" dataDxfId="6" totalsRowDxfId="7">
      <extLst>
        <ext xmlns:xlmsforms="http://schemas.microsoft.com/office/spreadsheetml/2023/msForms" uri="{FCC71383-01E1-4257-9335-427F07BE8D7F}">
          <xlmsforms:question id="re76c69963ca942f59e10a56bb09593de"/>
        </ext>
      </extLst>
    </tableColumn>
    <tableColumn id="11" xr3:uid="{00000000-0010-0000-0000-00000B000000}" name="Would you be interested in joining a yemandi rewards system" dataDxfId="4" totalsRowDxfId="5">
      <extLst>
        <ext xmlns:xlmsforms="http://schemas.microsoft.com/office/spreadsheetml/2023/msForms" uri="{FCC71383-01E1-4257-9335-427F07BE8D7F}">
          <xlmsforms:question id="r36b364c75bc049788744636b4eeebc54"/>
        </ext>
      </extLst>
    </tableColumn>
    <tableColumn id="12" xr3:uid="{00000000-0010-0000-0000-00000C000000}" name="Which rewards would be most appealing to you" dataDxfId="2" totalsRowDxfId="3">
      <extLst>
        <ext xmlns:xlmsforms="http://schemas.microsoft.com/office/spreadsheetml/2023/msForms" uri="{FCC71383-01E1-4257-9335-427F07BE8D7F}">
          <xlmsforms:question id="r8275ceb655f34a38bed7c1e23a317414"/>
        </ext>
      </extLst>
    </tableColumn>
    <tableColumn id="13" xr3:uid="{00000000-0010-0000-0000-00000D000000}" name="Is there anything else you would like us to improve or add?" dataDxfId="0" totalsRowDxfId="1">
      <extLst>
        <ext xmlns:xlmsforms="http://schemas.microsoft.com/office/spreadsheetml/2023/msForms" uri="{FCC71383-01E1-4257-9335-427F07BE8D7F}">
          <xlmsforms:question id="r20ecddecb4534fdf85cc3d806bc6f416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zbKEb2LLOVJsbNVtSsv51xUNlZFNFI5R1BXQlZTOTgwM0RGME5CNkRQNi4u" isFormConnected="1" maxResponseId="21" latestEventMarker="1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re7b8b4c7309b4c2fa0fe676ced5ae8a7</xlmsforms:syncedQuestionId>
        <xlmsforms:syncedQuestionId>rcb6e2f8ff1474913a6b776d25bc3831d</xlmsforms:syncedQuestionId>
        <xlmsforms:syncedQuestionId>re408fe2773b3467bb75df29f2711195e</xlmsforms:syncedQuestionId>
        <xlmsforms:syncedQuestionId>r819526db0c4b42c0b10044c47acb21a1</xlmsforms:syncedQuestionId>
        <xlmsforms:syncedQuestionId>re76c69963ca942f59e10a56bb09593de</xlmsforms:syncedQuestionId>
        <xlmsforms:syncedQuestionId>r36b364c75bc049788744636b4eeebc54</xlmsforms:syncedQuestionId>
        <xlmsforms:syncedQuestionId>r8275ceb655f34a38bed7c1e23a317414</xlmsforms:syncedQuestionId>
        <xlmsforms:syncedQuestionId>r20ecddecb4534fdf85cc3d806bc6f416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D24" sqref="D24"/>
    </sheetView>
  </sheetViews>
  <sheetFormatPr defaultRowHeight="15"/>
  <cols>
    <col min="1" max="1" width="20" bestFit="1" customWidth="1"/>
    <col min="2" max="3" width="20" style="2" bestFit="1" customWidth="1"/>
    <col min="4" max="4" width="20" style="3" customWidth="1"/>
    <col min="5" max="14" width="20" bestFit="1" customWidth="1"/>
  </cols>
  <sheetData>
    <row r="1" spans="1:14">
      <c r="A1" t="s">
        <v>0</v>
      </c>
      <c r="B1" s="2" t="s">
        <v>1</v>
      </c>
      <c r="C1" s="2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2">
        <v>46121.565289351849</v>
      </c>
      <c r="C2" s="2">
        <v>46121.565405092595</v>
      </c>
      <c r="D2" s="3">
        <f t="shared" ref="D2:D22" si="0">C2-B2</f>
        <v>1.1574074596865103E-4</v>
      </c>
      <c r="E2" t="s">
        <v>14</v>
      </c>
      <c r="F2" t="s">
        <v>15</v>
      </c>
      <c r="G2" t="s">
        <v>16</v>
      </c>
      <c r="H2">
        <v>5</v>
      </c>
      <c r="I2">
        <v>5</v>
      </c>
      <c r="J2">
        <v>5</v>
      </c>
      <c r="K2" t="s">
        <v>17</v>
      </c>
      <c r="L2" t="s">
        <v>18</v>
      </c>
      <c r="M2" t="s">
        <v>19</v>
      </c>
    </row>
    <row r="3" spans="1:14">
      <c r="A3">
        <v>2</v>
      </c>
      <c r="B3" s="2">
        <v>46121.566064814811</v>
      </c>
      <c r="C3" s="2">
        <v>46121.566446759258</v>
      </c>
      <c r="D3" s="3">
        <f t="shared" si="0"/>
        <v>3.819444464170374E-4</v>
      </c>
      <c r="E3" t="s">
        <v>20</v>
      </c>
      <c r="F3" t="s">
        <v>21</v>
      </c>
      <c r="G3" t="s">
        <v>22</v>
      </c>
      <c r="H3">
        <v>3</v>
      </c>
      <c r="I3">
        <v>3</v>
      </c>
      <c r="J3">
        <v>3</v>
      </c>
      <c r="K3" t="s">
        <v>23</v>
      </c>
      <c r="L3" t="s">
        <v>24</v>
      </c>
      <c r="M3" t="s">
        <v>19</v>
      </c>
      <c r="N3" t="s">
        <v>25</v>
      </c>
    </row>
    <row r="4" spans="1:14">
      <c r="A4">
        <v>3</v>
      </c>
      <c r="B4" s="2">
        <v>46121.565949074073</v>
      </c>
      <c r="C4" s="2">
        <v>46121.567881944444</v>
      </c>
      <c r="D4" s="3">
        <f t="shared" si="0"/>
        <v>1.9328703710925765E-3</v>
      </c>
      <c r="E4" t="s">
        <v>26</v>
      </c>
      <c r="F4" t="s">
        <v>27</v>
      </c>
      <c r="G4" t="s">
        <v>16</v>
      </c>
      <c r="H4">
        <v>4</v>
      </c>
      <c r="I4">
        <v>5</v>
      </c>
      <c r="J4">
        <v>5</v>
      </c>
      <c r="K4" t="s">
        <v>28</v>
      </c>
      <c r="L4" t="s">
        <v>29</v>
      </c>
      <c r="M4" t="s">
        <v>30</v>
      </c>
      <c r="N4" t="s">
        <v>31</v>
      </c>
    </row>
    <row r="5" spans="1:14">
      <c r="A5">
        <v>4</v>
      </c>
      <c r="B5" s="2">
        <v>46121.569039351853</v>
      </c>
      <c r="C5" s="2">
        <v>46121.56925925926</v>
      </c>
      <c r="D5" s="3">
        <f t="shared" si="0"/>
        <v>2.1990740788169205E-4</v>
      </c>
      <c r="E5" t="s">
        <v>32</v>
      </c>
      <c r="F5" t="s">
        <v>33</v>
      </c>
      <c r="G5" t="s">
        <v>16</v>
      </c>
      <c r="H5">
        <v>4</v>
      </c>
      <c r="I5">
        <v>5</v>
      </c>
      <c r="J5">
        <v>5</v>
      </c>
      <c r="K5" t="s">
        <v>28</v>
      </c>
      <c r="L5" t="s">
        <v>24</v>
      </c>
      <c r="M5" t="s">
        <v>30</v>
      </c>
    </row>
    <row r="6" spans="1:14">
      <c r="A6">
        <v>5</v>
      </c>
      <c r="B6" s="2">
        <v>46121.570694444446</v>
      </c>
      <c r="C6" s="2">
        <v>46121.571898148148</v>
      </c>
      <c r="D6" s="3">
        <f t="shared" si="0"/>
        <v>1.2037037013215013E-3</v>
      </c>
      <c r="E6" t="s">
        <v>34</v>
      </c>
      <c r="F6" t="s">
        <v>35</v>
      </c>
      <c r="G6" t="s">
        <v>22</v>
      </c>
      <c r="H6">
        <v>5</v>
      </c>
      <c r="I6">
        <v>5</v>
      </c>
      <c r="J6">
        <v>5</v>
      </c>
      <c r="K6" t="s">
        <v>28</v>
      </c>
      <c r="L6" t="s">
        <v>18</v>
      </c>
      <c r="M6" t="s">
        <v>19</v>
      </c>
      <c r="N6" t="s">
        <v>36</v>
      </c>
    </row>
    <row r="7" spans="1:14">
      <c r="A7">
        <v>6</v>
      </c>
      <c r="B7" s="2">
        <v>46121.573078703703</v>
      </c>
      <c r="C7" s="2">
        <v>46121.573634259257</v>
      </c>
      <c r="D7" s="3">
        <f t="shared" si="0"/>
        <v>5.5555555445607752E-4</v>
      </c>
      <c r="E7" t="s">
        <v>37</v>
      </c>
      <c r="F7" t="s">
        <v>38</v>
      </c>
      <c r="G7" t="s">
        <v>16</v>
      </c>
      <c r="H7">
        <v>5</v>
      </c>
      <c r="I7">
        <v>5</v>
      </c>
      <c r="J7">
        <v>5</v>
      </c>
      <c r="K7" t="s">
        <v>28</v>
      </c>
      <c r="L7" t="s">
        <v>18</v>
      </c>
      <c r="M7" t="s">
        <v>30</v>
      </c>
      <c r="N7" t="s">
        <v>39</v>
      </c>
    </row>
    <row r="8" spans="1:14">
      <c r="A8">
        <v>7</v>
      </c>
      <c r="B8" s="2">
        <v>46121.573437500003</v>
      </c>
      <c r="C8" s="2">
        <v>46121.573738425926</v>
      </c>
      <c r="D8" s="3">
        <f t="shared" si="0"/>
        <v>3.0092592351138592E-4</v>
      </c>
      <c r="E8" t="s">
        <v>40</v>
      </c>
      <c r="F8" t="s">
        <v>41</v>
      </c>
      <c r="G8" t="s">
        <v>16</v>
      </c>
      <c r="H8">
        <v>5</v>
      </c>
      <c r="I8">
        <v>4</v>
      </c>
      <c r="J8">
        <v>4</v>
      </c>
      <c r="K8" t="s">
        <v>28</v>
      </c>
      <c r="L8" t="s">
        <v>18</v>
      </c>
      <c r="M8" t="s">
        <v>30</v>
      </c>
    </row>
    <row r="9" spans="1:14">
      <c r="A9">
        <v>8</v>
      </c>
      <c r="B9" s="2">
        <v>46121.574178240699</v>
      </c>
      <c r="C9" s="2">
        <v>46121.575787037</v>
      </c>
      <c r="D9" s="3">
        <f t="shared" si="0"/>
        <v>1.6087963012978435E-3</v>
      </c>
      <c r="E9" s="1" t="s">
        <v>42</v>
      </c>
      <c r="F9" s="1" t="s">
        <v>43</v>
      </c>
      <c r="G9" s="1" t="s">
        <v>44</v>
      </c>
      <c r="H9">
        <v>5</v>
      </c>
      <c r="I9">
        <v>5</v>
      </c>
      <c r="J9">
        <v>4</v>
      </c>
      <c r="K9" s="1" t="s">
        <v>23</v>
      </c>
      <c r="L9" s="1" t="s">
        <v>24</v>
      </c>
      <c r="M9" s="1" t="s">
        <v>19</v>
      </c>
      <c r="N9" s="1"/>
    </row>
    <row r="10" spans="1:14">
      <c r="A10">
        <v>9</v>
      </c>
      <c r="B10" s="2">
        <v>46121.5777199074</v>
      </c>
      <c r="C10" s="2">
        <v>46121.578344907401</v>
      </c>
      <c r="D10" s="3">
        <f t="shared" si="0"/>
        <v>6.2500000058207661E-4</v>
      </c>
      <c r="E10" s="1" t="s">
        <v>45</v>
      </c>
      <c r="F10" s="1" t="s">
        <v>46</v>
      </c>
      <c r="G10" s="1" t="s">
        <v>16</v>
      </c>
      <c r="H10">
        <v>4</v>
      </c>
      <c r="I10">
        <v>4</v>
      </c>
      <c r="J10">
        <v>4</v>
      </c>
      <c r="K10" s="1" t="s">
        <v>28</v>
      </c>
      <c r="L10" s="1" t="s">
        <v>18</v>
      </c>
      <c r="M10" s="1" t="s">
        <v>19</v>
      </c>
      <c r="N10" s="1" t="s">
        <v>47</v>
      </c>
    </row>
    <row r="11" spans="1:14">
      <c r="A11">
        <v>10</v>
      </c>
      <c r="B11" s="2">
        <v>46121.578449074099</v>
      </c>
      <c r="C11" s="2">
        <v>46121.578912037003</v>
      </c>
      <c r="D11" s="3">
        <f t="shared" si="0"/>
        <v>4.6296290383907035E-4</v>
      </c>
      <c r="E11" s="1" t="s">
        <v>48</v>
      </c>
      <c r="F11" s="1" t="s">
        <v>49</v>
      </c>
      <c r="G11" s="1" t="s">
        <v>16</v>
      </c>
      <c r="H11">
        <v>4</v>
      </c>
      <c r="I11">
        <v>5</v>
      </c>
      <c r="J11">
        <v>4</v>
      </c>
      <c r="K11" s="1" t="s">
        <v>23</v>
      </c>
      <c r="L11" s="1" t="s">
        <v>24</v>
      </c>
      <c r="M11" s="1" t="s">
        <v>30</v>
      </c>
      <c r="N11" s="1" t="s">
        <v>50</v>
      </c>
    </row>
    <row r="12" spans="1:14">
      <c r="A12">
        <v>11</v>
      </c>
      <c r="B12" s="2">
        <v>46121.578541666699</v>
      </c>
      <c r="C12" s="2">
        <v>46121.580833333297</v>
      </c>
      <c r="D12" s="3">
        <f t="shared" si="0"/>
        <v>2.2916665984666906E-3</v>
      </c>
      <c r="E12" s="1" t="s">
        <v>51</v>
      </c>
      <c r="F12" s="1" t="s">
        <v>52</v>
      </c>
      <c r="G12" s="1" t="s">
        <v>16</v>
      </c>
      <c r="H12">
        <v>3</v>
      </c>
      <c r="I12">
        <v>4</v>
      </c>
      <c r="J12">
        <v>4</v>
      </c>
      <c r="K12" s="1" t="s">
        <v>17</v>
      </c>
      <c r="L12" s="1" t="s">
        <v>24</v>
      </c>
      <c r="M12" s="1" t="s">
        <v>19</v>
      </c>
      <c r="N12" s="1"/>
    </row>
    <row r="13" spans="1:14">
      <c r="A13">
        <v>12</v>
      </c>
      <c r="B13" s="2">
        <v>46121.582245370402</v>
      </c>
      <c r="C13" s="2">
        <v>46121.582407407397</v>
      </c>
      <c r="D13" s="3">
        <f t="shared" si="0"/>
        <v>1.6203699487959966E-4</v>
      </c>
      <c r="E13" s="1" t="s">
        <v>53</v>
      </c>
      <c r="F13" s="1" t="s">
        <v>54</v>
      </c>
      <c r="G13" s="1" t="s">
        <v>16</v>
      </c>
      <c r="H13">
        <v>4</v>
      </c>
      <c r="I13">
        <v>4</v>
      </c>
      <c r="J13">
        <v>4</v>
      </c>
      <c r="K13" s="1" t="s">
        <v>28</v>
      </c>
      <c r="L13" s="1" t="s">
        <v>18</v>
      </c>
      <c r="M13" s="1" t="s">
        <v>30</v>
      </c>
      <c r="N13" s="1"/>
    </row>
    <row r="14" spans="1:14">
      <c r="A14">
        <v>13</v>
      </c>
      <c r="B14" s="2">
        <v>46121.602789351797</v>
      </c>
      <c r="C14" s="2">
        <v>46121.606412036999</v>
      </c>
      <c r="D14" s="3">
        <f t="shared" si="0"/>
        <v>3.6226852025720291E-3</v>
      </c>
      <c r="E14" s="1" t="s">
        <v>55</v>
      </c>
      <c r="F14" s="1" t="s">
        <v>56</v>
      </c>
      <c r="G14" s="1" t="s">
        <v>16</v>
      </c>
      <c r="H14">
        <v>4</v>
      </c>
      <c r="I14">
        <v>4</v>
      </c>
      <c r="J14">
        <v>4</v>
      </c>
      <c r="K14" s="1" t="s">
        <v>57</v>
      </c>
      <c r="L14" s="1" t="s">
        <v>24</v>
      </c>
      <c r="M14" s="1" t="s">
        <v>58</v>
      </c>
      <c r="N14" s="1"/>
    </row>
    <row r="15" spans="1:14">
      <c r="A15">
        <v>14</v>
      </c>
      <c r="B15" s="2">
        <v>46121.686180555596</v>
      </c>
      <c r="C15" s="2">
        <v>46121.686550925901</v>
      </c>
      <c r="D15" s="3">
        <f t="shared" si="0"/>
        <v>3.7037030415376648E-4</v>
      </c>
      <c r="E15" s="1" t="s">
        <v>59</v>
      </c>
      <c r="F15" s="1" t="s">
        <v>60</v>
      </c>
      <c r="G15" s="1" t="s">
        <v>16</v>
      </c>
      <c r="H15">
        <v>5</v>
      </c>
      <c r="I15">
        <v>5</v>
      </c>
      <c r="J15">
        <v>5</v>
      </c>
      <c r="K15" s="1" t="s">
        <v>23</v>
      </c>
      <c r="L15" s="1" t="s">
        <v>24</v>
      </c>
      <c r="M15" s="1" t="s">
        <v>30</v>
      </c>
      <c r="N15" s="1"/>
    </row>
    <row r="16" spans="1:14">
      <c r="A16">
        <v>15</v>
      </c>
      <c r="B16" s="2">
        <v>46121.686400462997</v>
      </c>
      <c r="C16" s="2">
        <v>46121.691284722197</v>
      </c>
      <c r="D16" s="3">
        <f t="shared" si="0"/>
        <v>4.8842592004803009E-3</v>
      </c>
      <c r="E16" s="1" t="s">
        <v>61</v>
      </c>
      <c r="F16" s="1" t="s">
        <v>62</v>
      </c>
      <c r="G16" s="1" t="s">
        <v>16</v>
      </c>
      <c r="I16">
        <v>4</v>
      </c>
      <c r="J16">
        <v>5</v>
      </c>
      <c r="K16" s="1" t="s">
        <v>57</v>
      </c>
      <c r="L16" s="1" t="s">
        <v>29</v>
      </c>
      <c r="M16" s="1" t="s">
        <v>19</v>
      </c>
      <c r="N16" s="1"/>
    </row>
    <row r="17" spans="1:14">
      <c r="A17">
        <v>16</v>
      </c>
      <c r="B17" s="2">
        <v>46121.572789351798</v>
      </c>
      <c r="C17" s="2">
        <v>46121.714826388903</v>
      </c>
      <c r="D17" s="3">
        <f t="shared" si="0"/>
        <v>0.14203703710518312</v>
      </c>
      <c r="E17" s="1" t="s">
        <v>63</v>
      </c>
      <c r="F17" s="1" t="s">
        <v>64</v>
      </c>
      <c r="G17" s="1" t="s">
        <v>16</v>
      </c>
      <c r="H17">
        <v>4</v>
      </c>
      <c r="I17">
        <v>4</v>
      </c>
      <c r="J17">
        <v>5</v>
      </c>
      <c r="K17" s="1" t="s">
        <v>28</v>
      </c>
      <c r="L17" s="1" t="s">
        <v>24</v>
      </c>
      <c r="M17" s="1" t="s">
        <v>19</v>
      </c>
      <c r="N17" s="1" t="s">
        <v>65</v>
      </c>
    </row>
    <row r="18" spans="1:14">
      <c r="A18">
        <v>17</v>
      </c>
      <c r="B18" s="2">
        <v>46121.724259259303</v>
      </c>
      <c r="C18" s="2">
        <v>46121.734247685199</v>
      </c>
      <c r="D18" s="3">
        <f t="shared" si="0"/>
        <v>9.9884258961537853E-3</v>
      </c>
      <c r="E18" s="1" t="s">
        <v>63</v>
      </c>
      <c r="F18" s="1" t="s">
        <v>64</v>
      </c>
      <c r="G18" s="1" t="s">
        <v>16</v>
      </c>
      <c r="H18">
        <v>3</v>
      </c>
      <c r="I18">
        <v>4</v>
      </c>
      <c r="J18">
        <v>2</v>
      </c>
      <c r="K18" s="1" t="s">
        <v>28</v>
      </c>
      <c r="L18" s="1" t="s">
        <v>18</v>
      </c>
      <c r="M18" s="1" t="s">
        <v>19</v>
      </c>
      <c r="N18" s="1" t="s">
        <v>65</v>
      </c>
    </row>
    <row r="19" spans="1:14">
      <c r="A19">
        <v>18</v>
      </c>
      <c r="B19" s="2">
        <v>46121.743078703701</v>
      </c>
      <c r="C19" s="2">
        <v>46121.745173611103</v>
      </c>
      <c r="D19" s="3">
        <f t="shared" si="0"/>
        <v>2.0949074023519643E-3</v>
      </c>
      <c r="E19" s="1" t="s">
        <v>66</v>
      </c>
      <c r="F19" s="1" t="s">
        <v>67</v>
      </c>
      <c r="G19" s="1" t="s">
        <v>16</v>
      </c>
      <c r="H19">
        <v>5</v>
      </c>
      <c r="I19">
        <v>5</v>
      </c>
      <c r="J19">
        <v>5</v>
      </c>
      <c r="K19" s="1" t="s">
        <v>57</v>
      </c>
      <c r="L19" s="1" t="s">
        <v>24</v>
      </c>
      <c r="M19" s="1" t="s">
        <v>30</v>
      </c>
      <c r="N19" s="1"/>
    </row>
    <row r="20" spans="1:14">
      <c r="A20">
        <v>19</v>
      </c>
      <c r="B20" s="2">
        <v>46122.003587963001</v>
      </c>
      <c r="C20" s="2">
        <v>46122.004085648201</v>
      </c>
      <c r="D20" s="3">
        <f t="shared" si="0"/>
        <v>4.9768519966164604E-4</v>
      </c>
      <c r="E20" s="1" t="s">
        <v>68</v>
      </c>
      <c r="F20" s="1" t="s">
        <v>69</v>
      </c>
      <c r="G20" s="1" t="s">
        <v>44</v>
      </c>
      <c r="H20">
        <v>5</v>
      </c>
      <c r="I20">
        <v>5</v>
      </c>
      <c r="J20">
        <v>5</v>
      </c>
      <c r="K20" s="1" t="s">
        <v>70</v>
      </c>
      <c r="L20" s="1" t="s">
        <v>18</v>
      </c>
      <c r="M20" s="1" t="s">
        <v>19</v>
      </c>
      <c r="N20" s="1"/>
    </row>
    <row r="21" spans="1:14">
      <c r="A21">
        <v>20</v>
      </c>
      <c r="B21" s="2">
        <v>46122.427638888897</v>
      </c>
      <c r="C21" s="2">
        <v>46122.4281134259</v>
      </c>
      <c r="D21" s="3">
        <f t="shared" si="0"/>
        <v>4.7453700244659558E-4</v>
      </c>
      <c r="E21" s="1" t="s">
        <v>71</v>
      </c>
      <c r="F21" s="1" t="s">
        <v>71</v>
      </c>
      <c r="G21" s="1" t="s">
        <v>16</v>
      </c>
      <c r="H21">
        <v>5</v>
      </c>
      <c r="I21">
        <v>5</v>
      </c>
      <c r="J21">
        <v>4</v>
      </c>
      <c r="K21" s="1" t="s">
        <v>28</v>
      </c>
      <c r="L21" s="1" t="s">
        <v>18</v>
      </c>
      <c r="M21" s="1" t="s">
        <v>58</v>
      </c>
      <c r="N21" s="1"/>
    </row>
    <row r="22" spans="1:14">
      <c r="A22">
        <v>21</v>
      </c>
      <c r="B22" s="2">
        <v>46122.621550925898</v>
      </c>
      <c r="C22" s="2">
        <v>46122.623321759304</v>
      </c>
      <c r="D22" s="3">
        <f t="shared" si="0"/>
        <v>1.7708334053168073E-3</v>
      </c>
      <c r="E22" s="1" t="s">
        <v>72</v>
      </c>
      <c r="F22" s="1" t="s">
        <v>73</v>
      </c>
      <c r="G22" s="1" t="s">
        <v>16</v>
      </c>
      <c r="H22">
        <v>4</v>
      </c>
      <c r="I22">
        <v>4</v>
      </c>
      <c r="J22">
        <v>5</v>
      </c>
      <c r="K22" s="1" t="s">
        <v>23</v>
      </c>
      <c r="L22" s="1" t="s">
        <v>18</v>
      </c>
      <c r="M22" s="1" t="s">
        <v>30</v>
      </c>
      <c r="N22" s="1" t="s">
        <v>74</v>
      </c>
    </row>
    <row r="23" spans="1:14">
      <c r="D23" s="3">
        <f>AVERAGE(D2:D22)</f>
        <v>8.3619929365730573E-3</v>
      </c>
      <c r="E23" s="1"/>
      <c r="F23" s="1"/>
      <c r="G23" s="1"/>
      <c r="K23" s="1"/>
      <c r="L23" s="1"/>
      <c r="M23" s="1"/>
      <c r="N23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2026-04-09T18:48:49Z</dcterms:created>
  <dcterms:modified xsi:type="dcterms:W3CDTF">2026-04-17T04:50:40Z</dcterms:modified>
  <cp:category/>
  <cp:contentStatus/>
</cp:coreProperties>
</file>